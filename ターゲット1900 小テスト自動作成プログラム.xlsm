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ikuasahitatsu/Desktop/"/>
    </mc:Choice>
  </mc:AlternateContent>
  <xr:revisionPtr revIDLastSave="0" documentId="13_ncr:1_{BDCCA2CD-70BC-B841-824A-390A34D14457}" xr6:coauthVersionLast="47" xr6:coauthVersionMax="47" xr10:uidLastSave="{00000000-0000-0000-0000-000000000000}"/>
  <bookViews>
    <workbookView xWindow="0" yWindow="500" windowWidth="38400" windowHeight="19460" activeTab="1" xr2:uid="{00000000-000D-0000-FFFF-FFFF00000000}"/>
  </bookViews>
  <sheets>
    <sheet name="問題解答データベース" sheetId="1" r:id="rId1"/>
    <sheet name="小テスト" sheetId="2" r:id="rId2"/>
    <sheet name="小テスト （模範解答）" sheetId="6" r:id="rId3"/>
  </sheets>
  <definedNames>
    <definedName name="_xlnm.Print_Area" localSheetId="1">小テスト!$A$3:$L$27</definedName>
    <definedName name="_xlnm.Print_Area" localSheetId="2">'小テスト （模範解答）'!$A$2:$L$26</definedName>
    <definedName name="_xlnm.Print_Area" localSheetId="0">問題解答データベース!$D$1:$F$201</definedName>
    <definedName name="_xlnm.Print_Titles" localSheetId="0">問題解答データベース!$1:$1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2" i="1" l="1"/>
  <c r="D212" i="1"/>
  <c r="D213" i="1" s="1"/>
  <c r="D214" i="1" s="1"/>
  <c r="D215" i="1" s="1"/>
  <c r="D216" i="1" s="1"/>
  <c r="D217" i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D341" i="1" s="1"/>
  <c r="D342" i="1" s="1"/>
  <c r="D343" i="1" s="1"/>
  <c r="D344" i="1" s="1"/>
  <c r="D345" i="1" s="1"/>
  <c r="D346" i="1" s="1"/>
  <c r="D347" i="1" s="1"/>
  <c r="D348" i="1" s="1"/>
  <c r="D349" i="1" s="1"/>
  <c r="D350" i="1" s="1"/>
  <c r="D351" i="1" s="1"/>
  <c r="D352" i="1" s="1"/>
  <c r="D353" i="1" s="1"/>
  <c r="D354" i="1" s="1"/>
  <c r="D355" i="1" s="1"/>
  <c r="D356" i="1" s="1"/>
  <c r="D357" i="1" s="1"/>
  <c r="D358" i="1" s="1"/>
  <c r="D359" i="1" s="1"/>
  <c r="D360" i="1" s="1"/>
  <c r="D361" i="1" s="1"/>
  <c r="D362" i="1" s="1"/>
  <c r="D363" i="1" s="1"/>
  <c r="D364" i="1" s="1"/>
  <c r="D365" i="1" s="1"/>
  <c r="D366" i="1" s="1"/>
  <c r="D367" i="1" s="1"/>
  <c r="D368" i="1" s="1"/>
  <c r="D369" i="1" s="1"/>
  <c r="D370" i="1" s="1"/>
  <c r="D371" i="1" s="1"/>
  <c r="D372" i="1" s="1"/>
  <c r="D373" i="1" s="1"/>
  <c r="D374" i="1" s="1"/>
  <c r="D375" i="1" s="1"/>
  <c r="D376" i="1" s="1"/>
  <c r="D377" i="1" s="1"/>
  <c r="D378" i="1" s="1"/>
  <c r="D379" i="1" s="1"/>
  <c r="D380" i="1" s="1"/>
  <c r="D381" i="1" s="1"/>
  <c r="D382" i="1" s="1"/>
  <c r="D383" i="1" s="1"/>
  <c r="D384" i="1" s="1"/>
  <c r="D385" i="1" s="1"/>
  <c r="D386" i="1" s="1"/>
  <c r="D387" i="1" s="1"/>
  <c r="D388" i="1" s="1"/>
  <c r="D389" i="1" s="1"/>
  <c r="D390" i="1" s="1"/>
  <c r="D391" i="1" s="1"/>
  <c r="D392" i="1" s="1"/>
  <c r="D393" i="1" s="1"/>
  <c r="D394" i="1" s="1"/>
  <c r="D395" i="1" s="1"/>
  <c r="D396" i="1" s="1"/>
  <c r="D397" i="1" s="1"/>
  <c r="D398" i="1" s="1"/>
  <c r="D399" i="1" s="1"/>
  <c r="D400" i="1" s="1"/>
  <c r="D401" i="1" s="1"/>
  <c r="D402" i="1" s="1"/>
  <c r="D403" i="1" s="1"/>
  <c r="D404" i="1" s="1"/>
  <c r="D405" i="1" s="1"/>
  <c r="D406" i="1" s="1"/>
  <c r="D407" i="1" s="1"/>
  <c r="D408" i="1" s="1"/>
  <c r="D409" i="1" s="1"/>
  <c r="D410" i="1" s="1"/>
  <c r="D411" i="1" s="1"/>
  <c r="D412" i="1" s="1"/>
  <c r="D413" i="1" s="1"/>
  <c r="D414" i="1" s="1"/>
  <c r="D415" i="1" s="1"/>
  <c r="D416" i="1" s="1"/>
  <c r="D417" i="1" s="1"/>
  <c r="D418" i="1" s="1"/>
  <c r="D419" i="1" s="1"/>
  <c r="D420" i="1" s="1"/>
  <c r="D421" i="1" s="1"/>
  <c r="D422" i="1" s="1"/>
  <c r="D423" i="1" s="1"/>
  <c r="D424" i="1" s="1"/>
  <c r="D425" i="1" s="1"/>
  <c r="D426" i="1" s="1"/>
  <c r="D427" i="1" s="1"/>
  <c r="D428" i="1" s="1"/>
  <c r="D429" i="1" s="1"/>
  <c r="D430" i="1" s="1"/>
  <c r="D431" i="1" s="1"/>
  <c r="D432" i="1" s="1"/>
  <c r="D433" i="1" s="1"/>
  <c r="D434" i="1" s="1"/>
  <c r="D435" i="1" s="1"/>
  <c r="D436" i="1" s="1"/>
  <c r="D437" i="1" s="1"/>
  <c r="D438" i="1" s="1"/>
  <c r="D439" i="1" s="1"/>
  <c r="D440" i="1" s="1"/>
  <c r="D441" i="1" s="1"/>
  <c r="D442" i="1" s="1"/>
  <c r="D443" i="1" s="1"/>
  <c r="D444" i="1" s="1"/>
  <c r="D445" i="1" s="1"/>
  <c r="D446" i="1" s="1"/>
  <c r="D447" i="1" s="1"/>
  <c r="D448" i="1" s="1"/>
  <c r="D449" i="1" s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D461" i="1" s="1"/>
  <c r="D462" i="1" s="1"/>
  <c r="D463" i="1" s="1"/>
  <c r="D464" i="1" s="1"/>
  <c r="D465" i="1" s="1"/>
  <c r="D466" i="1" s="1"/>
  <c r="D467" i="1" s="1"/>
  <c r="D468" i="1" s="1"/>
  <c r="D469" i="1" s="1"/>
  <c r="D470" i="1" s="1"/>
  <c r="D471" i="1" s="1"/>
  <c r="D472" i="1" s="1"/>
  <c r="D473" i="1" s="1"/>
  <c r="D474" i="1" s="1"/>
  <c r="D475" i="1" s="1"/>
  <c r="D476" i="1" s="1"/>
  <c r="D477" i="1" s="1"/>
  <c r="D478" i="1" s="1"/>
  <c r="D479" i="1" s="1"/>
  <c r="D480" i="1" s="1"/>
  <c r="D481" i="1" s="1"/>
  <c r="D482" i="1" s="1"/>
  <c r="D483" i="1" s="1"/>
  <c r="D484" i="1" s="1"/>
  <c r="D485" i="1" s="1"/>
  <c r="D486" i="1" s="1"/>
  <c r="D487" i="1" s="1"/>
  <c r="D488" i="1" s="1"/>
  <c r="D489" i="1" s="1"/>
  <c r="D490" i="1" s="1"/>
  <c r="D491" i="1" s="1"/>
  <c r="D492" i="1" s="1"/>
  <c r="D493" i="1" s="1"/>
  <c r="D494" i="1" s="1"/>
  <c r="D495" i="1" s="1"/>
  <c r="D496" i="1" s="1"/>
  <c r="D497" i="1" s="1"/>
  <c r="D498" i="1" s="1"/>
  <c r="D499" i="1" s="1"/>
  <c r="D500" i="1" s="1"/>
  <c r="D501" i="1" s="1"/>
  <c r="D502" i="1" s="1"/>
  <c r="D503" i="1" s="1"/>
  <c r="D504" i="1" s="1"/>
  <c r="D505" i="1" s="1"/>
  <c r="D506" i="1" s="1"/>
  <c r="D507" i="1" s="1"/>
  <c r="D508" i="1" s="1"/>
  <c r="D509" i="1" s="1"/>
  <c r="D510" i="1" s="1"/>
  <c r="D511" i="1" s="1"/>
  <c r="D512" i="1" s="1"/>
  <c r="D513" i="1" s="1"/>
  <c r="D514" i="1" s="1"/>
  <c r="D515" i="1" s="1"/>
  <c r="D516" i="1" s="1"/>
  <c r="D517" i="1" s="1"/>
  <c r="D518" i="1" s="1"/>
  <c r="D519" i="1" s="1"/>
  <c r="D520" i="1" s="1"/>
  <c r="D521" i="1" s="1"/>
  <c r="D522" i="1" s="1"/>
  <c r="D523" i="1" s="1"/>
  <c r="D524" i="1" s="1"/>
  <c r="D525" i="1" s="1"/>
  <c r="D526" i="1" s="1"/>
  <c r="D527" i="1" s="1"/>
  <c r="D528" i="1" s="1"/>
  <c r="D529" i="1" s="1"/>
  <c r="D530" i="1" s="1"/>
  <c r="D531" i="1" s="1"/>
  <c r="D532" i="1" s="1"/>
  <c r="D533" i="1" s="1"/>
  <c r="D534" i="1" s="1"/>
  <c r="D535" i="1" s="1"/>
  <c r="D536" i="1" s="1"/>
  <c r="D537" i="1" s="1"/>
  <c r="D538" i="1" s="1"/>
  <c r="D539" i="1" s="1"/>
  <c r="D540" i="1" s="1"/>
  <c r="D541" i="1" s="1"/>
  <c r="D542" i="1" s="1"/>
  <c r="D543" i="1" s="1"/>
  <c r="D544" i="1" s="1"/>
  <c r="D545" i="1" s="1"/>
  <c r="D546" i="1" s="1"/>
  <c r="D547" i="1" s="1"/>
  <c r="D548" i="1" s="1"/>
  <c r="D549" i="1" s="1"/>
  <c r="D550" i="1" s="1"/>
  <c r="D551" i="1" s="1"/>
  <c r="D552" i="1" s="1"/>
  <c r="D553" i="1" s="1"/>
  <c r="D554" i="1" s="1"/>
  <c r="D555" i="1" s="1"/>
  <c r="D556" i="1" s="1"/>
  <c r="D557" i="1" s="1"/>
  <c r="D558" i="1" s="1"/>
  <c r="D559" i="1" s="1"/>
  <c r="D560" i="1" s="1"/>
  <c r="D561" i="1" s="1"/>
  <c r="D562" i="1" s="1"/>
  <c r="D563" i="1" s="1"/>
  <c r="D564" i="1" s="1"/>
  <c r="D565" i="1" s="1"/>
  <c r="D566" i="1" s="1"/>
  <c r="D567" i="1" s="1"/>
  <c r="D568" i="1" s="1"/>
  <c r="D569" i="1" s="1"/>
  <c r="D570" i="1" s="1"/>
  <c r="D571" i="1" s="1"/>
  <c r="D572" i="1" s="1"/>
  <c r="D573" i="1" s="1"/>
  <c r="D574" i="1" s="1"/>
  <c r="D575" i="1" s="1"/>
  <c r="D576" i="1" s="1"/>
  <c r="D577" i="1" s="1"/>
  <c r="D578" i="1" s="1"/>
  <c r="D579" i="1" s="1"/>
  <c r="D580" i="1" s="1"/>
  <c r="D581" i="1" s="1"/>
  <c r="D582" i="1" s="1"/>
  <c r="D583" i="1" s="1"/>
  <c r="D584" i="1" s="1"/>
  <c r="D585" i="1" s="1"/>
  <c r="D586" i="1" s="1"/>
  <c r="D587" i="1" s="1"/>
  <c r="D588" i="1" s="1"/>
  <c r="D589" i="1" s="1"/>
  <c r="D590" i="1" s="1"/>
  <c r="D591" i="1" s="1"/>
  <c r="D592" i="1" s="1"/>
  <c r="D593" i="1" s="1"/>
  <c r="D594" i="1" s="1"/>
  <c r="D595" i="1" s="1"/>
  <c r="D596" i="1" s="1"/>
  <c r="D597" i="1" s="1"/>
  <c r="D598" i="1" s="1"/>
  <c r="D599" i="1" s="1"/>
  <c r="D600" i="1" s="1"/>
  <c r="D601" i="1" s="1"/>
  <c r="D602" i="1" s="1"/>
  <c r="D603" i="1" s="1"/>
  <c r="D604" i="1" s="1"/>
  <c r="D605" i="1" s="1"/>
  <c r="D606" i="1" s="1"/>
  <c r="D607" i="1" s="1"/>
  <c r="D608" i="1" s="1"/>
  <c r="D609" i="1" s="1"/>
  <c r="D610" i="1" s="1"/>
  <c r="D611" i="1" s="1"/>
  <c r="D612" i="1" s="1"/>
  <c r="D613" i="1" s="1"/>
  <c r="D614" i="1" s="1"/>
  <c r="D615" i="1" s="1"/>
  <c r="D616" i="1" s="1"/>
  <c r="D617" i="1" s="1"/>
  <c r="D618" i="1" s="1"/>
  <c r="D619" i="1" s="1"/>
  <c r="D620" i="1" s="1"/>
  <c r="D621" i="1" s="1"/>
  <c r="D622" i="1" s="1"/>
  <c r="D623" i="1" s="1"/>
  <c r="D624" i="1" s="1"/>
  <c r="D625" i="1" s="1"/>
  <c r="D626" i="1" s="1"/>
  <c r="D627" i="1" s="1"/>
  <c r="D628" i="1" s="1"/>
  <c r="D629" i="1" s="1"/>
  <c r="D630" i="1" s="1"/>
  <c r="D631" i="1" s="1"/>
  <c r="D632" i="1" s="1"/>
  <c r="D633" i="1" s="1"/>
  <c r="D634" i="1" s="1"/>
  <c r="D635" i="1" s="1"/>
  <c r="D636" i="1" s="1"/>
  <c r="D637" i="1" s="1"/>
  <c r="D638" i="1" s="1"/>
  <c r="D639" i="1" s="1"/>
  <c r="D640" i="1" s="1"/>
  <c r="D641" i="1" s="1"/>
  <c r="D642" i="1" s="1"/>
  <c r="D643" i="1" s="1"/>
  <c r="D644" i="1" s="1"/>
  <c r="D645" i="1" s="1"/>
  <c r="D646" i="1" s="1"/>
  <c r="D647" i="1" s="1"/>
  <c r="D648" i="1" s="1"/>
  <c r="D649" i="1" s="1"/>
  <c r="D650" i="1" s="1"/>
  <c r="D651" i="1" s="1"/>
  <c r="D652" i="1" s="1"/>
  <c r="D653" i="1" s="1"/>
  <c r="D654" i="1" s="1"/>
  <c r="D655" i="1" s="1"/>
  <c r="D656" i="1" s="1"/>
  <c r="D657" i="1" s="1"/>
  <c r="D658" i="1" s="1"/>
  <c r="D659" i="1" s="1"/>
  <c r="D660" i="1" s="1"/>
  <c r="D661" i="1" s="1"/>
  <c r="D662" i="1" s="1"/>
  <c r="D663" i="1" s="1"/>
  <c r="D664" i="1" s="1"/>
  <c r="D665" i="1" s="1"/>
  <c r="D666" i="1" s="1"/>
  <c r="D667" i="1" s="1"/>
  <c r="D668" i="1" s="1"/>
  <c r="D669" i="1" s="1"/>
  <c r="D670" i="1" s="1"/>
  <c r="D671" i="1" s="1"/>
  <c r="D672" i="1" s="1"/>
  <c r="D673" i="1" s="1"/>
  <c r="D674" i="1" s="1"/>
  <c r="D675" i="1" s="1"/>
  <c r="D676" i="1" s="1"/>
  <c r="D677" i="1" s="1"/>
  <c r="D678" i="1" s="1"/>
  <c r="D679" i="1" s="1"/>
  <c r="D680" i="1" s="1"/>
  <c r="D681" i="1" s="1"/>
  <c r="D682" i="1" s="1"/>
  <c r="D683" i="1" s="1"/>
  <c r="D684" i="1" s="1"/>
  <c r="D685" i="1" s="1"/>
  <c r="D686" i="1" s="1"/>
  <c r="D687" i="1" s="1"/>
  <c r="D688" i="1" s="1"/>
  <c r="D689" i="1" s="1"/>
  <c r="D690" i="1" s="1"/>
  <c r="D691" i="1" s="1"/>
  <c r="D692" i="1" s="1"/>
  <c r="D693" i="1" s="1"/>
  <c r="D694" i="1" s="1"/>
  <c r="D695" i="1" s="1"/>
  <c r="D696" i="1" s="1"/>
  <c r="D697" i="1" s="1"/>
  <c r="D698" i="1" s="1"/>
  <c r="D699" i="1" s="1"/>
  <c r="D700" i="1" s="1"/>
  <c r="D701" i="1" s="1"/>
  <c r="D702" i="1" s="1"/>
  <c r="D703" i="1" s="1"/>
  <c r="D704" i="1" s="1"/>
  <c r="D705" i="1" s="1"/>
  <c r="D706" i="1" s="1"/>
  <c r="D707" i="1" s="1"/>
  <c r="D708" i="1" s="1"/>
  <c r="D709" i="1" s="1"/>
  <c r="D710" i="1" s="1"/>
  <c r="D711" i="1" s="1"/>
  <c r="D712" i="1" s="1"/>
  <c r="D713" i="1" s="1"/>
  <c r="D714" i="1" s="1"/>
  <c r="D715" i="1" s="1"/>
  <c r="D716" i="1" s="1"/>
  <c r="D717" i="1" s="1"/>
  <c r="D718" i="1" s="1"/>
  <c r="D719" i="1" s="1"/>
  <c r="D720" i="1" s="1"/>
  <c r="D721" i="1" s="1"/>
  <c r="D722" i="1" s="1"/>
  <c r="D723" i="1" s="1"/>
  <c r="D724" i="1" s="1"/>
  <c r="D725" i="1" s="1"/>
  <c r="D726" i="1" s="1"/>
  <c r="D727" i="1" s="1"/>
  <c r="D728" i="1" s="1"/>
  <c r="D729" i="1" s="1"/>
  <c r="D730" i="1" s="1"/>
  <c r="D731" i="1" s="1"/>
  <c r="D732" i="1" s="1"/>
  <c r="D733" i="1" s="1"/>
  <c r="D734" i="1" s="1"/>
  <c r="D735" i="1" s="1"/>
  <c r="D736" i="1" s="1"/>
  <c r="D737" i="1" s="1"/>
  <c r="D738" i="1" s="1"/>
  <c r="D739" i="1" s="1"/>
  <c r="D740" i="1" s="1"/>
  <c r="D741" i="1" s="1"/>
  <c r="D742" i="1" s="1"/>
  <c r="D743" i="1" s="1"/>
  <c r="D744" i="1" s="1"/>
  <c r="D745" i="1" s="1"/>
  <c r="D746" i="1" s="1"/>
  <c r="D747" i="1" s="1"/>
  <c r="D748" i="1" s="1"/>
  <c r="D749" i="1" s="1"/>
  <c r="D750" i="1" s="1"/>
  <c r="D751" i="1" s="1"/>
  <c r="D752" i="1" s="1"/>
  <c r="D753" i="1" s="1"/>
  <c r="D754" i="1" s="1"/>
  <c r="D755" i="1" s="1"/>
  <c r="D756" i="1" s="1"/>
  <c r="D757" i="1" s="1"/>
  <c r="D758" i="1" s="1"/>
  <c r="D759" i="1" s="1"/>
  <c r="D760" i="1" s="1"/>
  <c r="D761" i="1" s="1"/>
  <c r="D762" i="1" s="1"/>
  <c r="D763" i="1" s="1"/>
  <c r="D764" i="1" s="1"/>
  <c r="D765" i="1" s="1"/>
  <c r="D766" i="1" s="1"/>
  <c r="D767" i="1" s="1"/>
  <c r="D768" i="1" s="1"/>
  <c r="D769" i="1" s="1"/>
  <c r="D770" i="1" s="1"/>
  <c r="D771" i="1" s="1"/>
  <c r="D772" i="1" s="1"/>
  <c r="D773" i="1" s="1"/>
  <c r="D774" i="1" s="1"/>
  <c r="D775" i="1" s="1"/>
  <c r="D776" i="1" s="1"/>
  <c r="D777" i="1" s="1"/>
  <c r="D778" i="1" s="1"/>
  <c r="D779" i="1" s="1"/>
  <c r="D780" i="1" s="1"/>
  <c r="D781" i="1" s="1"/>
  <c r="D782" i="1" s="1"/>
  <c r="D783" i="1" s="1"/>
  <c r="D784" i="1" s="1"/>
  <c r="D785" i="1" s="1"/>
  <c r="D786" i="1" s="1"/>
  <c r="D787" i="1" s="1"/>
  <c r="D788" i="1" s="1"/>
  <c r="D789" i="1" s="1"/>
  <c r="D790" i="1" s="1"/>
  <c r="D791" i="1" s="1"/>
  <c r="D792" i="1" s="1"/>
  <c r="D793" i="1" s="1"/>
  <c r="D794" i="1" s="1"/>
  <c r="D795" i="1" s="1"/>
  <c r="D796" i="1" s="1"/>
  <c r="D797" i="1" s="1"/>
  <c r="D798" i="1" s="1"/>
  <c r="D799" i="1" s="1"/>
  <c r="D800" i="1" s="1"/>
  <c r="D801" i="1" s="1"/>
  <c r="D802" i="1" s="1"/>
  <c r="D803" i="1" s="1"/>
  <c r="D804" i="1" s="1"/>
  <c r="D805" i="1" s="1"/>
  <c r="D806" i="1" s="1"/>
  <c r="D807" i="1" s="1"/>
  <c r="D808" i="1" s="1"/>
  <c r="D809" i="1" s="1"/>
  <c r="D810" i="1" s="1"/>
  <c r="D811" i="1" s="1"/>
  <c r="D812" i="1" s="1"/>
  <c r="D813" i="1" s="1"/>
  <c r="D814" i="1" s="1"/>
  <c r="D815" i="1" s="1"/>
  <c r="D816" i="1" s="1"/>
  <c r="D817" i="1" s="1"/>
  <c r="D818" i="1" s="1"/>
  <c r="D819" i="1" s="1"/>
  <c r="D820" i="1" s="1"/>
  <c r="D821" i="1" s="1"/>
  <c r="D822" i="1" s="1"/>
  <c r="D823" i="1" s="1"/>
  <c r="D824" i="1" s="1"/>
  <c r="D825" i="1" s="1"/>
  <c r="D826" i="1" s="1"/>
  <c r="D827" i="1" s="1"/>
  <c r="D828" i="1" s="1"/>
  <c r="D829" i="1" s="1"/>
  <c r="D830" i="1" s="1"/>
  <c r="D831" i="1" s="1"/>
  <c r="D832" i="1" s="1"/>
  <c r="D833" i="1" s="1"/>
  <c r="D834" i="1" s="1"/>
  <c r="D835" i="1" s="1"/>
  <c r="D836" i="1" s="1"/>
  <c r="D837" i="1" s="1"/>
  <c r="D838" i="1" s="1"/>
  <c r="D839" i="1" s="1"/>
  <c r="D840" i="1" s="1"/>
  <c r="D841" i="1" s="1"/>
  <c r="D842" i="1" s="1"/>
  <c r="D843" i="1" s="1"/>
  <c r="D844" i="1" s="1"/>
  <c r="D845" i="1" s="1"/>
  <c r="D846" i="1" s="1"/>
  <c r="D847" i="1" s="1"/>
  <c r="D848" i="1" s="1"/>
  <c r="D849" i="1" s="1"/>
  <c r="D850" i="1" s="1"/>
  <c r="D851" i="1" s="1"/>
  <c r="D852" i="1" s="1"/>
  <c r="D853" i="1" s="1"/>
  <c r="D854" i="1" s="1"/>
  <c r="D855" i="1" s="1"/>
  <c r="D856" i="1" s="1"/>
  <c r="D857" i="1" s="1"/>
  <c r="D858" i="1" s="1"/>
  <c r="D859" i="1" s="1"/>
  <c r="D860" i="1" s="1"/>
  <c r="D861" i="1" s="1"/>
  <c r="D862" i="1" s="1"/>
  <c r="D863" i="1" s="1"/>
  <c r="D864" i="1" s="1"/>
  <c r="D865" i="1" s="1"/>
  <c r="D866" i="1" s="1"/>
  <c r="D867" i="1" s="1"/>
  <c r="D868" i="1" s="1"/>
  <c r="D869" i="1" s="1"/>
  <c r="D870" i="1" s="1"/>
  <c r="D871" i="1" s="1"/>
  <c r="D872" i="1" s="1"/>
  <c r="D873" i="1" s="1"/>
  <c r="D874" i="1" s="1"/>
  <c r="D875" i="1" s="1"/>
  <c r="D876" i="1" s="1"/>
  <c r="D877" i="1" s="1"/>
  <c r="D878" i="1" s="1"/>
  <c r="D879" i="1" s="1"/>
  <c r="D880" i="1" s="1"/>
  <c r="D881" i="1" s="1"/>
  <c r="D882" i="1" s="1"/>
  <c r="D883" i="1" s="1"/>
  <c r="D884" i="1" s="1"/>
  <c r="D885" i="1" s="1"/>
  <c r="D886" i="1" s="1"/>
  <c r="D887" i="1" s="1"/>
  <c r="D888" i="1" s="1"/>
  <c r="D889" i="1" s="1"/>
  <c r="D890" i="1" s="1"/>
  <c r="D891" i="1" s="1"/>
  <c r="D892" i="1" s="1"/>
  <c r="D893" i="1" s="1"/>
  <c r="D894" i="1" s="1"/>
  <c r="D895" i="1" s="1"/>
  <c r="D896" i="1" s="1"/>
  <c r="D897" i="1" s="1"/>
  <c r="D898" i="1" s="1"/>
  <c r="D899" i="1" s="1"/>
  <c r="D900" i="1" s="1"/>
  <c r="D901" i="1" s="1"/>
  <c r="D902" i="1" s="1"/>
  <c r="D903" i="1" s="1"/>
  <c r="D904" i="1" s="1"/>
  <c r="D905" i="1" s="1"/>
  <c r="D906" i="1" s="1"/>
  <c r="D907" i="1" s="1"/>
  <c r="D908" i="1" s="1"/>
  <c r="D909" i="1" s="1"/>
  <c r="D910" i="1" s="1"/>
  <c r="D911" i="1" s="1"/>
  <c r="D912" i="1" s="1"/>
  <c r="D913" i="1" s="1"/>
  <c r="D914" i="1" s="1"/>
  <c r="D915" i="1" s="1"/>
  <c r="D916" i="1" s="1"/>
  <c r="D917" i="1" s="1"/>
  <c r="D918" i="1" s="1"/>
  <c r="D919" i="1" s="1"/>
  <c r="D920" i="1" s="1"/>
  <c r="D921" i="1" s="1"/>
  <c r="D922" i="1" s="1"/>
  <c r="D923" i="1" s="1"/>
  <c r="D924" i="1" s="1"/>
  <c r="D925" i="1" s="1"/>
  <c r="D926" i="1" s="1"/>
  <c r="D927" i="1" s="1"/>
  <c r="D928" i="1" s="1"/>
  <c r="D929" i="1" s="1"/>
  <c r="D930" i="1" s="1"/>
  <c r="D931" i="1" s="1"/>
  <c r="D932" i="1" s="1"/>
  <c r="D933" i="1" s="1"/>
  <c r="D934" i="1" s="1"/>
  <c r="D935" i="1" s="1"/>
  <c r="D936" i="1" s="1"/>
  <c r="D937" i="1" s="1"/>
  <c r="D938" i="1" s="1"/>
  <c r="D939" i="1" s="1"/>
  <c r="D940" i="1" s="1"/>
  <c r="D941" i="1" s="1"/>
  <c r="D942" i="1" s="1"/>
  <c r="D943" i="1" s="1"/>
  <c r="D944" i="1" s="1"/>
  <c r="D945" i="1" s="1"/>
  <c r="D946" i="1" s="1"/>
  <c r="D947" i="1" s="1"/>
  <c r="D948" i="1" s="1"/>
  <c r="D949" i="1" s="1"/>
  <c r="D950" i="1" s="1"/>
  <c r="D951" i="1" s="1"/>
  <c r="D952" i="1" s="1"/>
  <c r="D953" i="1" s="1"/>
  <c r="D954" i="1" s="1"/>
  <c r="D955" i="1" s="1"/>
  <c r="D956" i="1" s="1"/>
  <c r="D957" i="1" s="1"/>
  <c r="D958" i="1" s="1"/>
  <c r="D959" i="1" s="1"/>
  <c r="D960" i="1" s="1"/>
  <c r="D961" i="1" s="1"/>
  <c r="D962" i="1" s="1"/>
  <c r="D963" i="1" s="1"/>
  <c r="D964" i="1" s="1"/>
  <c r="D965" i="1" s="1"/>
  <c r="D966" i="1" s="1"/>
  <c r="D967" i="1" s="1"/>
  <c r="D968" i="1" s="1"/>
  <c r="D969" i="1" s="1"/>
  <c r="D970" i="1" s="1"/>
  <c r="D971" i="1" s="1"/>
  <c r="D972" i="1" s="1"/>
  <c r="D973" i="1" s="1"/>
  <c r="D974" i="1" s="1"/>
  <c r="D975" i="1" s="1"/>
  <c r="D976" i="1" s="1"/>
  <c r="D977" i="1" s="1"/>
  <c r="D978" i="1" s="1"/>
  <c r="D979" i="1" s="1"/>
  <c r="D980" i="1" s="1"/>
  <c r="D981" i="1" s="1"/>
  <c r="D982" i="1" s="1"/>
  <c r="D983" i="1" s="1"/>
  <c r="D984" i="1" s="1"/>
  <c r="D985" i="1" s="1"/>
  <c r="D986" i="1" s="1"/>
  <c r="D987" i="1" s="1"/>
  <c r="D988" i="1" s="1"/>
  <c r="D989" i="1" s="1"/>
  <c r="D990" i="1" s="1"/>
  <c r="D991" i="1" s="1"/>
  <c r="D992" i="1" s="1"/>
  <c r="D993" i="1" s="1"/>
  <c r="D994" i="1" s="1"/>
  <c r="D995" i="1" s="1"/>
  <c r="D996" i="1" s="1"/>
  <c r="D997" i="1" s="1"/>
  <c r="D998" i="1" s="1"/>
  <c r="D999" i="1" s="1"/>
  <c r="D1000" i="1" s="1"/>
  <c r="D1001" i="1" s="1"/>
  <c r="D1002" i="1" s="1"/>
  <c r="D1003" i="1" s="1"/>
  <c r="D1004" i="1" s="1"/>
  <c r="D1005" i="1" s="1"/>
  <c r="D1006" i="1" s="1"/>
  <c r="D1007" i="1" s="1"/>
  <c r="D1008" i="1" s="1"/>
  <c r="D1009" i="1" s="1"/>
  <c r="D1010" i="1" s="1"/>
  <c r="D1011" i="1" s="1"/>
  <c r="D1012" i="1" s="1"/>
  <c r="D1013" i="1" s="1"/>
  <c r="D1014" i="1" s="1"/>
  <c r="D1015" i="1" s="1"/>
  <c r="D1016" i="1" s="1"/>
  <c r="D1017" i="1" s="1"/>
  <c r="D1018" i="1" s="1"/>
  <c r="D1019" i="1" s="1"/>
  <c r="D1020" i="1" s="1"/>
  <c r="D1021" i="1" s="1"/>
  <c r="D1022" i="1" s="1"/>
  <c r="D1023" i="1" s="1"/>
  <c r="D1024" i="1" s="1"/>
  <c r="D1025" i="1" s="1"/>
  <c r="D1026" i="1" s="1"/>
  <c r="D1027" i="1" s="1"/>
  <c r="D1028" i="1" s="1"/>
  <c r="D1029" i="1" s="1"/>
  <c r="D1030" i="1" s="1"/>
  <c r="D1031" i="1" s="1"/>
  <c r="D1032" i="1" s="1"/>
  <c r="D1033" i="1" s="1"/>
  <c r="D1034" i="1" s="1"/>
  <c r="D1035" i="1" s="1"/>
  <c r="D1036" i="1" s="1"/>
  <c r="D1037" i="1" s="1"/>
  <c r="D1038" i="1" s="1"/>
  <c r="D1039" i="1" s="1"/>
  <c r="D1040" i="1" s="1"/>
  <c r="D1041" i="1" s="1"/>
  <c r="D1042" i="1" s="1"/>
  <c r="D1043" i="1" s="1"/>
  <c r="D1044" i="1" s="1"/>
  <c r="D1045" i="1" s="1"/>
  <c r="D1046" i="1" s="1"/>
  <c r="D1047" i="1" s="1"/>
  <c r="D1048" i="1" s="1"/>
  <c r="D1049" i="1" s="1"/>
  <c r="D1050" i="1" s="1"/>
  <c r="D1051" i="1" s="1"/>
  <c r="D1052" i="1" s="1"/>
  <c r="D1053" i="1" s="1"/>
  <c r="D1054" i="1" s="1"/>
  <c r="D1055" i="1" s="1"/>
  <c r="D1056" i="1" s="1"/>
  <c r="D1057" i="1" s="1"/>
  <c r="D1058" i="1" s="1"/>
  <c r="D1059" i="1" s="1"/>
  <c r="D1060" i="1" s="1"/>
  <c r="D1061" i="1" s="1"/>
  <c r="D1062" i="1" s="1"/>
  <c r="D1063" i="1" s="1"/>
  <c r="D1064" i="1" s="1"/>
  <c r="D1065" i="1" s="1"/>
  <c r="D1066" i="1" s="1"/>
  <c r="D1067" i="1" s="1"/>
  <c r="D1068" i="1" s="1"/>
  <c r="D1069" i="1" s="1"/>
  <c r="D1070" i="1" s="1"/>
  <c r="D1071" i="1" s="1"/>
  <c r="D1072" i="1" s="1"/>
  <c r="D1073" i="1" s="1"/>
  <c r="D1074" i="1" s="1"/>
  <c r="D1075" i="1" s="1"/>
  <c r="D1076" i="1" s="1"/>
  <c r="D1077" i="1" s="1"/>
  <c r="D1078" i="1" s="1"/>
  <c r="D1079" i="1" s="1"/>
  <c r="D1080" i="1" s="1"/>
  <c r="D1081" i="1" s="1"/>
  <c r="D1082" i="1" s="1"/>
  <c r="D1083" i="1" s="1"/>
  <c r="D1084" i="1" s="1"/>
  <c r="D1085" i="1" s="1"/>
  <c r="D1086" i="1" s="1"/>
  <c r="D1087" i="1" s="1"/>
  <c r="D1088" i="1" s="1"/>
  <c r="D1089" i="1" s="1"/>
  <c r="D1090" i="1" s="1"/>
  <c r="D1091" i="1" s="1"/>
  <c r="D1092" i="1" s="1"/>
  <c r="D1093" i="1" s="1"/>
  <c r="D1094" i="1" s="1"/>
  <c r="D1095" i="1" s="1"/>
  <c r="D1096" i="1" s="1"/>
  <c r="D1097" i="1" s="1"/>
  <c r="D1098" i="1" s="1"/>
  <c r="D1099" i="1" s="1"/>
  <c r="D1100" i="1" s="1"/>
  <c r="D1101" i="1" s="1"/>
  <c r="D1102" i="1" s="1"/>
  <c r="D1103" i="1" s="1"/>
  <c r="D1104" i="1" s="1"/>
  <c r="D1105" i="1" s="1"/>
  <c r="D1106" i="1" s="1"/>
  <c r="D1107" i="1" s="1"/>
  <c r="D1108" i="1" s="1"/>
  <c r="D1109" i="1" s="1"/>
  <c r="D1110" i="1" s="1"/>
  <c r="D1111" i="1" s="1"/>
  <c r="D1112" i="1" s="1"/>
  <c r="D1113" i="1" s="1"/>
  <c r="D1114" i="1" s="1"/>
  <c r="D1115" i="1" s="1"/>
  <c r="D1116" i="1" s="1"/>
  <c r="D1117" i="1" s="1"/>
  <c r="D1118" i="1" s="1"/>
  <c r="D1119" i="1" s="1"/>
  <c r="D1120" i="1" s="1"/>
  <c r="D1121" i="1" s="1"/>
  <c r="D1122" i="1" s="1"/>
  <c r="D1123" i="1" s="1"/>
  <c r="D1124" i="1" s="1"/>
  <c r="D1125" i="1" s="1"/>
  <c r="D1126" i="1" s="1"/>
  <c r="D1127" i="1" s="1"/>
  <c r="D1128" i="1" s="1"/>
  <c r="D1129" i="1" s="1"/>
  <c r="D1130" i="1" s="1"/>
  <c r="D1131" i="1" s="1"/>
  <c r="D1132" i="1" s="1"/>
  <c r="D1133" i="1" s="1"/>
  <c r="D1134" i="1" s="1"/>
  <c r="D1135" i="1" s="1"/>
  <c r="D1136" i="1" s="1"/>
  <c r="D1137" i="1" s="1"/>
  <c r="D1138" i="1" s="1"/>
  <c r="D1139" i="1" s="1"/>
  <c r="D1140" i="1" s="1"/>
  <c r="D1141" i="1" s="1"/>
  <c r="D1142" i="1" s="1"/>
  <c r="D1143" i="1" s="1"/>
  <c r="D1144" i="1" s="1"/>
  <c r="D1145" i="1" s="1"/>
  <c r="D1146" i="1" s="1"/>
  <c r="D1147" i="1" s="1"/>
  <c r="D1148" i="1" s="1"/>
  <c r="D1149" i="1" s="1"/>
  <c r="D1150" i="1" s="1"/>
  <c r="D1151" i="1" s="1"/>
  <c r="D1152" i="1" s="1"/>
  <c r="D1153" i="1" s="1"/>
  <c r="D1154" i="1" s="1"/>
  <c r="D1155" i="1" s="1"/>
  <c r="D1156" i="1" s="1"/>
  <c r="D1157" i="1" s="1"/>
  <c r="D1158" i="1" s="1"/>
  <c r="D1159" i="1" s="1"/>
  <c r="D1160" i="1" s="1"/>
  <c r="D1161" i="1" s="1"/>
  <c r="D1162" i="1" s="1"/>
  <c r="D1163" i="1" s="1"/>
  <c r="D1164" i="1" s="1"/>
  <c r="D1165" i="1" s="1"/>
  <c r="D1166" i="1" s="1"/>
  <c r="D1167" i="1" s="1"/>
  <c r="D1168" i="1" s="1"/>
  <c r="D1169" i="1" s="1"/>
  <c r="D1170" i="1" s="1"/>
  <c r="D1171" i="1" s="1"/>
  <c r="D1172" i="1" s="1"/>
  <c r="D1173" i="1" s="1"/>
  <c r="D1174" i="1" s="1"/>
  <c r="D1175" i="1" s="1"/>
  <c r="D1176" i="1" s="1"/>
  <c r="D1177" i="1" s="1"/>
  <c r="D1178" i="1" s="1"/>
  <c r="D1179" i="1" s="1"/>
  <c r="D1180" i="1" s="1"/>
  <c r="D1181" i="1" s="1"/>
  <c r="D1182" i="1" s="1"/>
  <c r="D1183" i="1" s="1"/>
  <c r="D1184" i="1" s="1"/>
  <c r="D1185" i="1" s="1"/>
  <c r="D1186" i="1" s="1"/>
  <c r="D1187" i="1" s="1"/>
  <c r="D1188" i="1" s="1"/>
  <c r="D1189" i="1" s="1"/>
  <c r="D1190" i="1" s="1"/>
  <c r="D1191" i="1" s="1"/>
  <c r="D1192" i="1" s="1"/>
  <c r="D1193" i="1" s="1"/>
  <c r="D1194" i="1" s="1"/>
  <c r="D1195" i="1" s="1"/>
  <c r="D1196" i="1" s="1"/>
  <c r="D1197" i="1" s="1"/>
  <c r="D1198" i="1" s="1"/>
  <c r="D1199" i="1" s="1"/>
  <c r="D1200" i="1" s="1"/>
  <c r="D1201" i="1" s="1"/>
  <c r="D1202" i="1" s="1"/>
  <c r="D1203" i="1" s="1"/>
  <c r="D1204" i="1" s="1"/>
  <c r="D1205" i="1" s="1"/>
  <c r="D1206" i="1" s="1"/>
  <c r="D1207" i="1" s="1"/>
  <c r="D1208" i="1" s="1"/>
  <c r="D1209" i="1" s="1"/>
  <c r="D1210" i="1" s="1"/>
  <c r="D1211" i="1" s="1"/>
  <c r="D1212" i="1" s="1"/>
  <c r="D1213" i="1" s="1"/>
  <c r="D1214" i="1" s="1"/>
  <c r="D1215" i="1" s="1"/>
  <c r="D1216" i="1" s="1"/>
  <c r="D1217" i="1" s="1"/>
  <c r="D1218" i="1" s="1"/>
  <c r="D1219" i="1" s="1"/>
  <c r="D1220" i="1" s="1"/>
  <c r="D1221" i="1" s="1"/>
  <c r="D1222" i="1" s="1"/>
  <c r="D1223" i="1" s="1"/>
  <c r="D1224" i="1" s="1"/>
  <c r="D1225" i="1" s="1"/>
  <c r="D1226" i="1" s="1"/>
  <c r="D1227" i="1" s="1"/>
  <c r="D1228" i="1" s="1"/>
  <c r="D1229" i="1" s="1"/>
  <c r="D1230" i="1" s="1"/>
  <c r="D1231" i="1" s="1"/>
  <c r="D1232" i="1" s="1"/>
  <c r="D1233" i="1" s="1"/>
  <c r="D1234" i="1" s="1"/>
  <c r="D1235" i="1" s="1"/>
  <c r="D1236" i="1" s="1"/>
  <c r="D1237" i="1" s="1"/>
  <c r="D1238" i="1" s="1"/>
  <c r="D1239" i="1" s="1"/>
  <c r="D1240" i="1" s="1"/>
  <c r="D1241" i="1" s="1"/>
  <c r="D1242" i="1" s="1"/>
  <c r="D1243" i="1" s="1"/>
  <c r="D1244" i="1" s="1"/>
  <c r="D1245" i="1" s="1"/>
  <c r="D1246" i="1" s="1"/>
  <c r="D1247" i="1" s="1"/>
  <c r="D1248" i="1" s="1"/>
  <c r="D1249" i="1" s="1"/>
  <c r="D1250" i="1" s="1"/>
  <c r="D1251" i="1" s="1"/>
  <c r="D1252" i="1" s="1"/>
  <c r="D1253" i="1" s="1"/>
  <c r="D1254" i="1" s="1"/>
  <c r="D1255" i="1" s="1"/>
  <c r="D1256" i="1" s="1"/>
  <c r="D1257" i="1" s="1"/>
  <c r="D1258" i="1" s="1"/>
  <c r="D1259" i="1" s="1"/>
  <c r="D1260" i="1" s="1"/>
  <c r="D1261" i="1" s="1"/>
  <c r="D1262" i="1" s="1"/>
  <c r="D1263" i="1" s="1"/>
  <c r="D1264" i="1" s="1"/>
  <c r="D1265" i="1" s="1"/>
  <c r="D1266" i="1" s="1"/>
  <c r="D1267" i="1" s="1"/>
  <c r="D1268" i="1" s="1"/>
  <c r="D1269" i="1" s="1"/>
  <c r="D1270" i="1" s="1"/>
  <c r="D1271" i="1" s="1"/>
  <c r="D1272" i="1" s="1"/>
  <c r="D1273" i="1" s="1"/>
  <c r="D1274" i="1" s="1"/>
  <c r="D1275" i="1" s="1"/>
  <c r="D1276" i="1" s="1"/>
  <c r="D1277" i="1" s="1"/>
  <c r="D1278" i="1" s="1"/>
  <c r="D1279" i="1" s="1"/>
  <c r="D1280" i="1" s="1"/>
  <c r="D1281" i="1" s="1"/>
  <c r="D1282" i="1" s="1"/>
  <c r="D1283" i="1" s="1"/>
  <c r="D1284" i="1" s="1"/>
  <c r="D1285" i="1" s="1"/>
  <c r="D1286" i="1" s="1"/>
  <c r="D1287" i="1" s="1"/>
  <c r="D1288" i="1" s="1"/>
  <c r="D1289" i="1" s="1"/>
  <c r="D1290" i="1" s="1"/>
  <c r="D1291" i="1" s="1"/>
  <c r="D1292" i="1" s="1"/>
  <c r="D1293" i="1" s="1"/>
  <c r="D1294" i="1" s="1"/>
  <c r="D1295" i="1" s="1"/>
  <c r="D1296" i="1" s="1"/>
  <c r="D1297" i="1" s="1"/>
  <c r="D1298" i="1" s="1"/>
  <c r="D1299" i="1" s="1"/>
  <c r="D1300" i="1" s="1"/>
  <c r="D1301" i="1" s="1"/>
  <c r="D1302" i="1" s="1"/>
  <c r="D1303" i="1" s="1"/>
  <c r="D1304" i="1" s="1"/>
  <c r="D1305" i="1" s="1"/>
  <c r="D1306" i="1" s="1"/>
  <c r="D1307" i="1" s="1"/>
  <c r="D1308" i="1" s="1"/>
  <c r="D1309" i="1" s="1"/>
  <c r="D1310" i="1" s="1"/>
  <c r="D1311" i="1" s="1"/>
  <c r="D1312" i="1" s="1"/>
  <c r="D1313" i="1" s="1"/>
  <c r="D1314" i="1" s="1"/>
  <c r="D1315" i="1" s="1"/>
  <c r="D1316" i="1" s="1"/>
  <c r="D1317" i="1" s="1"/>
  <c r="D1318" i="1" s="1"/>
  <c r="D1319" i="1" s="1"/>
  <c r="D1320" i="1" s="1"/>
  <c r="D1321" i="1" s="1"/>
  <c r="D1322" i="1" s="1"/>
  <c r="D1323" i="1" s="1"/>
  <c r="D1324" i="1" s="1"/>
  <c r="D1325" i="1" s="1"/>
  <c r="D1326" i="1" s="1"/>
  <c r="D1327" i="1" s="1"/>
  <c r="D1328" i="1" s="1"/>
  <c r="D1329" i="1" s="1"/>
  <c r="D1330" i="1" s="1"/>
  <c r="D1331" i="1" s="1"/>
  <c r="D1332" i="1" s="1"/>
  <c r="D1333" i="1" s="1"/>
  <c r="D1334" i="1" s="1"/>
  <c r="D1335" i="1" s="1"/>
  <c r="D1336" i="1" s="1"/>
  <c r="D1337" i="1" s="1"/>
  <c r="D1338" i="1" s="1"/>
  <c r="D1339" i="1" s="1"/>
  <c r="D1340" i="1" s="1"/>
  <c r="D1341" i="1" s="1"/>
  <c r="D1342" i="1" s="1"/>
  <c r="D1343" i="1" s="1"/>
  <c r="D1344" i="1" s="1"/>
  <c r="D1345" i="1" s="1"/>
  <c r="D1346" i="1" s="1"/>
  <c r="D1347" i="1" s="1"/>
  <c r="D1348" i="1" s="1"/>
  <c r="D1349" i="1" s="1"/>
  <c r="D1350" i="1" s="1"/>
  <c r="D1351" i="1" s="1"/>
  <c r="D1352" i="1" s="1"/>
  <c r="D1353" i="1" s="1"/>
  <c r="D1354" i="1" s="1"/>
  <c r="D1355" i="1" s="1"/>
  <c r="D1356" i="1" s="1"/>
  <c r="D1357" i="1" s="1"/>
  <c r="D1358" i="1" s="1"/>
  <c r="D1359" i="1" s="1"/>
  <c r="D1360" i="1" s="1"/>
  <c r="D1361" i="1" s="1"/>
  <c r="D1362" i="1" s="1"/>
  <c r="D1363" i="1" s="1"/>
  <c r="D1364" i="1" s="1"/>
  <c r="D1365" i="1" s="1"/>
  <c r="D1366" i="1" s="1"/>
  <c r="D1367" i="1" s="1"/>
  <c r="D1368" i="1" s="1"/>
  <c r="D1369" i="1" s="1"/>
  <c r="D1370" i="1" s="1"/>
  <c r="D1371" i="1" s="1"/>
  <c r="D1372" i="1" s="1"/>
  <c r="D1373" i="1" s="1"/>
  <c r="D1374" i="1" s="1"/>
  <c r="D1375" i="1" s="1"/>
  <c r="D1376" i="1" s="1"/>
  <c r="D1377" i="1" s="1"/>
  <c r="D1378" i="1" s="1"/>
  <c r="D1379" i="1" s="1"/>
  <c r="D1380" i="1" s="1"/>
  <c r="D1381" i="1" s="1"/>
  <c r="D1382" i="1" s="1"/>
  <c r="D1383" i="1" s="1"/>
  <c r="D1384" i="1" s="1"/>
  <c r="D1385" i="1" s="1"/>
  <c r="D1386" i="1" s="1"/>
  <c r="D1387" i="1" s="1"/>
  <c r="D1388" i="1" s="1"/>
  <c r="D1389" i="1" s="1"/>
  <c r="D1390" i="1" s="1"/>
  <c r="D1391" i="1" s="1"/>
  <c r="D1392" i="1" s="1"/>
  <c r="D1393" i="1" s="1"/>
  <c r="D1394" i="1" s="1"/>
  <c r="D1395" i="1" s="1"/>
  <c r="D1396" i="1" s="1"/>
  <c r="D1397" i="1" s="1"/>
  <c r="D1398" i="1" s="1"/>
  <c r="D1399" i="1" s="1"/>
  <c r="D1400" i="1" s="1"/>
  <c r="D1401" i="1" s="1"/>
  <c r="D1402" i="1" s="1"/>
  <c r="D1403" i="1" s="1"/>
  <c r="D1404" i="1" s="1"/>
  <c r="D1405" i="1" s="1"/>
  <c r="D1406" i="1" s="1"/>
  <c r="D1407" i="1" s="1"/>
  <c r="D1408" i="1" s="1"/>
  <c r="D1409" i="1" s="1"/>
  <c r="D1410" i="1" s="1"/>
  <c r="D1411" i="1" s="1"/>
  <c r="D1412" i="1" s="1"/>
  <c r="D1413" i="1" s="1"/>
  <c r="D1414" i="1" s="1"/>
  <c r="D1415" i="1" s="1"/>
  <c r="D1416" i="1" s="1"/>
  <c r="D1417" i="1" s="1"/>
  <c r="D1418" i="1" s="1"/>
  <c r="D1419" i="1" s="1"/>
  <c r="D1420" i="1" s="1"/>
  <c r="D1421" i="1" s="1"/>
  <c r="D1422" i="1" s="1"/>
  <c r="D1423" i="1" s="1"/>
  <c r="D1424" i="1" s="1"/>
  <c r="D1425" i="1" s="1"/>
  <c r="D1426" i="1" s="1"/>
  <c r="D1427" i="1" s="1"/>
  <c r="D1428" i="1" s="1"/>
  <c r="D1429" i="1" s="1"/>
  <c r="D1430" i="1" s="1"/>
  <c r="D1431" i="1" s="1"/>
  <c r="D1432" i="1" s="1"/>
  <c r="D1433" i="1" s="1"/>
  <c r="D1434" i="1" s="1"/>
  <c r="D1435" i="1" s="1"/>
  <c r="D1436" i="1" s="1"/>
  <c r="D1437" i="1" s="1"/>
  <c r="D1438" i="1" s="1"/>
  <c r="D1439" i="1" s="1"/>
  <c r="D1440" i="1" s="1"/>
  <c r="D1441" i="1" s="1"/>
  <c r="D1442" i="1" s="1"/>
  <c r="D1443" i="1" s="1"/>
  <c r="D1444" i="1" s="1"/>
  <c r="D1445" i="1" s="1"/>
  <c r="D1446" i="1" s="1"/>
  <c r="D1447" i="1" s="1"/>
  <c r="D1448" i="1" s="1"/>
  <c r="D1449" i="1" s="1"/>
  <c r="D1450" i="1" s="1"/>
  <c r="D1451" i="1" s="1"/>
  <c r="D1452" i="1" s="1"/>
  <c r="D1453" i="1" s="1"/>
  <c r="D1454" i="1" s="1"/>
  <c r="D1455" i="1" s="1"/>
  <c r="D1456" i="1" s="1"/>
  <c r="D1457" i="1" s="1"/>
  <c r="D1458" i="1" s="1"/>
  <c r="D1459" i="1" s="1"/>
  <c r="D1460" i="1" s="1"/>
  <c r="D1461" i="1" s="1"/>
  <c r="D1462" i="1" s="1"/>
  <c r="D1463" i="1" s="1"/>
  <c r="D1464" i="1" s="1"/>
  <c r="D1465" i="1" s="1"/>
  <c r="D1466" i="1" s="1"/>
  <c r="D1467" i="1" s="1"/>
  <c r="D1468" i="1" s="1"/>
  <c r="D1469" i="1" s="1"/>
  <c r="D1470" i="1" s="1"/>
  <c r="D1471" i="1" s="1"/>
  <c r="D1472" i="1" s="1"/>
  <c r="D1473" i="1" s="1"/>
  <c r="D1474" i="1" s="1"/>
  <c r="D1475" i="1" s="1"/>
  <c r="D1476" i="1" s="1"/>
  <c r="D1477" i="1" s="1"/>
  <c r="D1478" i="1" s="1"/>
  <c r="D1479" i="1" s="1"/>
  <c r="D1480" i="1" s="1"/>
  <c r="D1481" i="1" s="1"/>
  <c r="D1482" i="1" s="1"/>
  <c r="D1483" i="1" s="1"/>
  <c r="D1484" i="1" s="1"/>
  <c r="D1485" i="1" s="1"/>
  <c r="D1486" i="1" s="1"/>
  <c r="D1487" i="1" s="1"/>
  <c r="D1488" i="1" s="1"/>
  <c r="D1489" i="1" s="1"/>
  <c r="D1490" i="1" s="1"/>
  <c r="D1491" i="1" s="1"/>
  <c r="D1492" i="1" s="1"/>
  <c r="D1493" i="1" s="1"/>
  <c r="D1494" i="1" s="1"/>
  <c r="D1495" i="1" s="1"/>
  <c r="D1496" i="1" s="1"/>
  <c r="D1497" i="1" s="1"/>
  <c r="D1498" i="1" s="1"/>
  <c r="D1499" i="1" s="1"/>
  <c r="D1500" i="1" s="1"/>
  <c r="D1501" i="1" s="1"/>
  <c r="D1502" i="1" s="1"/>
  <c r="D1503" i="1" s="1"/>
  <c r="D1504" i="1" s="1"/>
  <c r="D1505" i="1" s="1"/>
  <c r="D1506" i="1" s="1"/>
  <c r="D1507" i="1" s="1"/>
  <c r="D1508" i="1" s="1"/>
  <c r="D1509" i="1" s="1"/>
  <c r="D1510" i="1" s="1"/>
  <c r="D1511" i="1" s="1"/>
  <c r="D1512" i="1" s="1"/>
  <c r="D1513" i="1" s="1"/>
  <c r="D1514" i="1" s="1"/>
  <c r="D1515" i="1" s="1"/>
  <c r="D1516" i="1" s="1"/>
  <c r="D1517" i="1" s="1"/>
  <c r="D1518" i="1" s="1"/>
  <c r="D1519" i="1" s="1"/>
  <c r="D1520" i="1" s="1"/>
  <c r="D1521" i="1" s="1"/>
  <c r="D1522" i="1" s="1"/>
  <c r="D1523" i="1" s="1"/>
  <c r="D1524" i="1" s="1"/>
  <c r="D1525" i="1" s="1"/>
  <c r="D1526" i="1" s="1"/>
  <c r="D1527" i="1" s="1"/>
  <c r="D1528" i="1" s="1"/>
  <c r="D1529" i="1" s="1"/>
  <c r="D1530" i="1" s="1"/>
  <c r="D1531" i="1" s="1"/>
  <c r="D1532" i="1" s="1"/>
  <c r="D1533" i="1" s="1"/>
  <c r="D1534" i="1" s="1"/>
  <c r="D1535" i="1" s="1"/>
  <c r="D1536" i="1" s="1"/>
  <c r="D1537" i="1" s="1"/>
  <c r="D1538" i="1" s="1"/>
  <c r="D1539" i="1" s="1"/>
  <c r="D1540" i="1" s="1"/>
  <c r="D1541" i="1" s="1"/>
  <c r="D1542" i="1" s="1"/>
  <c r="D1543" i="1" s="1"/>
  <c r="D1544" i="1" s="1"/>
  <c r="D1545" i="1" s="1"/>
  <c r="D1546" i="1" s="1"/>
  <c r="D1547" i="1" s="1"/>
  <c r="D1548" i="1" s="1"/>
  <c r="D1549" i="1" s="1"/>
  <c r="D1550" i="1" s="1"/>
  <c r="D1551" i="1" s="1"/>
  <c r="D1552" i="1" s="1"/>
  <c r="D1553" i="1" s="1"/>
  <c r="D1554" i="1" s="1"/>
  <c r="D1555" i="1" s="1"/>
  <c r="D1556" i="1" s="1"/>
  <c r="D1557" i="1" s="1"/>
  <c r="D1558" i="1" s="1"/>
  <c r="D1559" i="1" s="1"/>
  <c r="D1560" i="1" s="1"/>
  <c r="D1561" i="1" s="1"/>
  <c r="D1562" i="1" s="1"/>
  <c r="D1563" i="1" s="1"/>
  <c r="D1564" i="1" s="1"/>
  <c r="D1565" i="1" s="1"/>
  <c r="D1566" i="1" s="1"/>
  <c r="D1567" i="1" s="1"/>
  <c r="D1568" i="1" s="1"/>
  <c r="D1569" i="1" s="1"/>
  <c r="D1570" i="1" s="1"/>
  <c r="D1571" i="1" s="1"/>
  <c r="D1572" i="1" s="1"/>
  <c r="D1573" i="1" s="1"/>
  <c r="D1574" i="1" s="1"/>
  <c r="D1575" i="1" s="1"/>
  <c r="D1576" i="1" s="1"/>
  <c r="D1577" i="1" s="1"/>
  <c r="D1578" i="1" s="1"/>
  <c r="D1579" i="1" s="1"/>
  <c r="D1580" i="1" s="1"/>
  <c r="D1581" i="1" s="1"/>
  <c r="D1582" i="1" s="1"/>
  <c r="D1583" i="1" s="1"/>
  <c r="D1584" i="1" s="1"/>
  <c r="D1585" i="1" s="1"/>
  <c r="D1586" i="1" s="1"/>
  <c r="D1587" i="1" s="1"/>
  <c r="D1588" i="1" s="1"/>
  <c r="D1589" i="1" s="1"/>
  <c r="D1590" i="1" s="1"/>
  <c r="D1591" i="1" s="1"/>
  <c r="D1592" i="1" s="1"/>
  <c r="D1593" i="1" s="1"/>
  <c r="D1594" i="1" s="1"/>
  <c r="D1595" i="1" s="1"/>
  <c r="D1596" i="1" s="1"/>
  <c r="D1597" i="1" s="1"/>
  <c r="D1598" i="1" s="1"/>
  <c r="D1599" i="1" s="1"/>
  <c r="D1600" i="1" s="1"/>
  <c r="D1601" i="1" s="1"/>
  <c r="D1602" i="1" s="1"/>
  <c r="D1603" i="1" s="1"/>
  <c r="D1604" i="1" s="1"/>
  <c r="D1605" i="1" s="1"/>
  <c r="D1606" i="1" s="1"/>
  <c r="D1607" i="1" s="1"/>
  <c r="D1608" i="1" s="1"/>
  <c r="D1609" i="1" s="1"/>
  <c r="D1610" i="1" s="1"/>
  <c r="D1611" i="1" s="1"/>
  <c r="D1612" i="1" s="1"/>
  <c r="D1613" i="1" s="1"/>
  <c r="D1614" i="1" s="1"/>
  <c r="D1615" i="1" s="1"/>
  <c r="D1616" i="1" s="1"/>
  <c r="D1617" i="1" s="1"/>
  <c r="D1618" i="1" s="1"/>
  <c r="D1619" i="1" s="1"/>
  <c r="D1620" i="1" s="1"/>
  <c r="D1621" i="1" s="1"/>
  <c r="D1622" i="1" s="1"/>
  <c r="D1623" i="1" s="1"/>
  <c r="D1624" i="1" s="1"/>
  <c r="D1625" i="1" s="1"/>
  <c r="D1626" i="1" s="1"/>
  <c r="D1627" i="1" s="1"/>
  <c r="D1628" i="1" s="1"/>
  <c r="D1629" i="1" s="1"/>
  <c r="D1630" i="1" s="1"/>
  <c r="D1631" i="1" s="1"/>
  <c r="D1632" i="1" s="1"/>
  <c r="D1633" i="1" s="1"/>
  <c r="D1634" i="1" s="1"/>
  <c r="D1635" i="1" s="1"/>
  <c r="D1636" i="1" s="1"/>
  <c r="D1637" i="1" s="1"/>
  <c r="D1638" i="1" s="1"/>
  <c r="D1639" i="1" s="1"/>
  <c r="D1640" i="1" s="1"/>
  <c r="D1641" i="1" s="1"/>
  <c r="D1642" i="1" s="1"/>
  <c r="D1643" i="1" s="1"/>
  <c r="D1644" i="1" s="1"/>
  <c r="D1645" i="1" s="1"/>
  <c r="D1646" i="1" s="1"/>
  <c r="D1647" i="1" s="1"/>
  <c r="D1648" i="1" s="1"/>
  <c r="D1649" i="1" s="1"/>
  <c r="D1650" i="1" s="1"/>
  <c r="D1651" i="1" s="1"/>
  <c r="D1652" i="1" s="1"/>
  <c r="D1653" i="1" s="1"/>
  <c r="D1654" i="1" s="1"/>
  <c r="D1655" i="1" s="1"/>
  <c r="D1656" i="1" s="1"/>
  <c r="D1657" i="1" s="1"/>
  <c r="D1658" i="1" s="1"/>
  <c r="D1659" i="1" s="1"/>
  <c r="D1660" i="1" s="1"/>
  <c r="D1661" i="1" s="1"/>
  <c r="D1662" i="1" s="1"/>
  <c r="D1663" i="1" s="1"/>
  <c r="D1664" i="1" s="1"/>
  <c r="D1665" i="1" s="1"/>
  <c r="D1666" i="1" s="1"/>
  <c r="D1667" i="1" s="1"/>
  <c r="D1668" i="1" s="1"/>
  <c r="D1669" i="1" s="1"/>
  <c r="D1670" i="1" s="1"/>
  <c r="D1671" i="1" s="1"/>
  <c r="D1672" i="1" s="1"/>
  <c r="D1673" i="1" s="1"/>
  <c r="D1674" i="1" s="1"/>
  <c r="D1675" i="1" s="1"/>
  <c r="D1676" i="1" s="1"/>
  <c r="D1677" i="1" s="1"/>
  <c r="D1678" i="1" s="1"/>
  <c r="D1679" i="1" s="1"/>
  <c r="D1680" i="1" s="1"/>
  <c r="D1681" i="1" s="1"/>
  <c r="D1682" i="1" s="1"/>
  <c r="D1683" i="1" s="1"/>
  <c r="D1684" i="1" s="1"/>
  <c r="D1685" i="1" s="1"/>
  <c r="D1686" i="1" s="1"/>
  <c r="D1687" i="1" s="1"/>
  <c r="D1688" i="1" s="1"/>
  <c r="D1689" i="1" s="1"/>
  <c r="D1690" i="1" s="1"/>
  <c r="D1691" i="1" s="1"/>
  <c r="D1692" i="1" s="1"/>
  <c r="D1693" i="1" s="1"/>
  <c r="D1694" i="1" s="1"/>
  <c r="D1695" i="1" s="1"/>
  <c r="D1696" i="1" s="1"/>
  <c r="D1697" i="1" s="1"/>
  <c r="D1698" i="1" s="1"/>
  <c r="D1699" i="1" s="1"/>
  <c r="D1700" i="1" s="1"/>
  <c r="D1701" i="1" s="1"/>
  <c r="D1702" i="1" s="1"/>
  <c r="D1703" i="1" s="1"/>
  <c r="D1704" i="1" s="1"/>
  <c r="D1705" i="1" s="1"/>
  <c r="D1706" i="1" s="1"/>
  <c r="D1707" i="1" s="1"/>
  <c r="D1708" i="1" s="1"/>
  <c r="D1709" i="1" s="1"/>
  <c r="D1710" i="1" s="1"/>
  <c r="D1711" i="1" s="1"/>
  <c r="D1712" i="1" s="1"/>
  <c r="D1713" i="1" s="1"/>
  <c r="D1714" i="1" s="1"/>
  <c r="D1715" i="1" s="1"/>
  <c r="D1716" i="1" s="1"/>
  <c r="D1717" i="1" s="1"/>
  <c r="D1718" i="1" s="1"/>
  <c r="D1719" i="1" s="1"/>
  <c r="D1720" i="1" s="1"/>
  <c r="D1721" i="1" s="1"/>
  <c r="D1722" i="1" s="1"/>
  <c r="D1723" i="1" s="1"/>
  <c r="D1724" i="1" s="1"/>
  <c r="D1725" i="1" s="1"/>
  <c r="D1726" i="1" s="1"/>
  <c r="D1727" i="1" s="1"/>
  <c r="D1728" i="1" s="1"/>
  <c r="D1729" i="1" s="1"/>
  <c r="D1730" i="1" s="1"/>
  <c r="D1731" i="1" s="1"/>
  <c r="D1732" i="1" s="1"/>
  <c r="D1733" i="1" s="1"/>
  <c r="D1734" i="1" s="1"/>
  <c r="D1735" i="1" s="1"/>
  <c r="D1736" i="1" s="1"/>
  <c r="D1737" i="1" s="1"/>
  <c r="D1738" i="1" s="1"/>
  <c r="D1739" i="1" s="1"/>
  <c r="D1740" i="1" s="1"/>
  <c r="D1741" i="1" s="1"/>
  <c r="D1742" i="1" s="1"/>
  <c r="D1743" i="1" s="1"/>
  <c r="D1744" i="1" s="1"/>
  <c r="D1745" i="1" s="1"/>
  <c r="D1746" i="1" s="1"/>
  <c r="D1747" i="1" s="1"/>
  <c r="D1748" i="1" s="1"/>
  <c r="D1749" i="1" s="1"/>
  <c r="D1750" i="1" s="1"/>
  <c r="D1751" i="1" s="1"/>
  <c r="D1752" i="1" s="1"/>
  <c r="D1753" i="1" s="1"/>
  <c r="D1754" i="1" s="1"/>
  <c r="D1755" i="1" s="1"/>
  <c r="D1756" i="1" s="1"/>
  <c r="D1757" i="1" s="1"/>
  <c r="D1758" i="1" s="1"/>
  <c r="D1759" i="1" s="1"/>
  <c r="D1760" i="1" s="1"/>
  <c r="D1761" i="1" s="1"/>
  <c r="D1762" i="1" s="1"/>
  <c r="D1763" i="1" s="1"/>
  <c r="D1764" i="1" s="1"/>
  <c r="D1765" i="1" s="1"/>
  <c r="D1766" i="1" s="1"/>
  <c r="D1767" i="1" s="1"/>
  <c r="D1768" i="1" s="1"/>
  <c r="D1769" i="1" s="1"/>
  <c r="D1770" i="1" s="1"/>
  <c r="D1771" i="1" s="1"/>
  <c r="D1772" i="1" s="1"/>
  <c r="D1773" i="1" s="1"/>
  <c r="D1774" i="1" s="1"/>
  <c r="D1775" i="1" s="1"/>
  <c r="D1776" i="1" s="1"/>
  <c r="D1777" i="1" s="1"/>
  <c r="D1778" i="1" s="1"/>
  <c r="D1779" i="1" s="1"/>
  <c r="D1780" i="1" s="1"/>
  <c r="D1781" i="1" s="1"/>
  <c r="D1782" i="1" s="1"/>
  <c r="D1783" i="1" s="1"/>
  <c r="D1784" i="1" s="1"/>
  <c r="D1785" i="1" s="1"/>
  <c r="D1786" i="1" s="1"/>
  <c r="D1787" i="1" s="1"/>
  <c r="D1788" i="1" s="1"/>
  <c r="D1789" i="1" s="1"/>
  <c r="D1790" i="1" s="1"/>
  <c r="D1791" i="1" s="1"/>
  <c r="D1792" i="1" s="1"/>
  <c r="D1793" i="1" s="1"/>
  <c r="D1794" i="1" s="1"/>
  <c r="D1795" i="1" s="1"/>
  <c r="D1796" i="1" s="1"/>
  <c r="D1797" i="1" s="1"/>
  <c r="D1798" i="1" s="1"/>
  <c r="D1799" i="1" s="1"/>
  <c r="D1800" i="1" s="1"/>
  <c r="D1801" i="1" s="1"/>
  <c r="D1802" i="1" s="1"/>
  <c r="D1803" i="1" s="1"/>
  <c r="D1804" i="1" s="1"/>
  <c r="D1805" i="1" s="1"/>
  <c r="D1806" i="1" s="1"/>
  <c r="D1807" i="1" s="1"/>
  <c r="D1808" i="1" s="1"/>
  <c r="D1809" i="1" s="1"/>
  <c r="D1810" i="1" s="1"/>
  <c r="D1811" i="1" s="1"/>
  <c r="D1812" i="1" s="1"/>
  <c r="D1813" i="1" s="1"/>
  <c r="D1814" i="1" s="1"/>
  <c r="D1815" i="1" s="1"/>
  <c r="D1816" i="1" s="1"/>
  <c r="D1817" i="1" s="1"/>
  <c r="D1818" i="1" s="1"/>
  <c r="D1819" i="1" s="1"/>
  <c r="D1820" i="1" s="1"/>
  <c r="D1821" i="1" s="1"/>
  <c r="D1822" i="1" s="1"/>
  <c r="D1823" i="1" s="1"/>
  <c r="D1824" i="1" s="1"/>
  <c r="D1825" i="1" s="1"/>
  <c r="D1826" i="1" s="1"/>
  <c r="D1827" i="1" s="1"/>
  <c r="D1828" i="1" s="1"/>
  <c r="D1829" i="1" s="1"/>
  <c r="D1830" i="1" s="1"/>
  <c r="D1831" i="1" s="1"/>
  <c r="D1832" i="1" s="1"/>
  <c r="D1833" i="1" s="1"/>
  <c r="D1834" i="1" s="1"/>
  <c r="D1835" i="1" s="1"/>
  <c r="D1836" i="1" s="1"/>
  <c r="D1837" i="1" s="1"/>
  <c r="D1838" i="1" s="1"/>
  <c r="D1839" i="1" s="1"/>
  <c r="D1840" i="1" s="1"/>
  <c r="D1841" i="1" s="1"/>
  <c r="D1842" i="1" s="1"/>
  <c r="D1843" i="1" s="1"/>
  <c r="D1844" i="1" s="1"/>
  <c r="D1845" i="1" s="1"/>
  <c r="D1846" i="1" s="1"/>
  <c r="D1847" i="1" s="1"/>
  <c r="D1848" i="1" s="1"/>
  <c r="D1849" i="1" s="1"/>
  <c r="D1850" i="1" s="1"/>
  <c r="D1851" i="1" s="1"/>
  <c r="D1852" i="1" s="1"/>
  <c r="D1853" i="1" s="1"/>
  <c r="D1854" i="1" s="1"/>
  <c r="D1855" i="1" s="1"/>
  <c r="D1856" i="1" s="1"/>
  <c r="D1857" i="1" s="1"/>
  <c r="D1858" i="1" s="1"/>
  <c r="D1859" i="1" s="1"/>
  <c r="D1860" i="1" s="1"/>
  <c r="D1861" i="1" s="1"/>
  <c r="D1862" i="1" s="1"/>
  <c r="D1863" i="1" s="1"/>
  <c r="D1864" i="1" s="1"/>
  <c r="D1865" i="1" s="1"/>
  <c r="D1866" i="1" s="1"/>
  <c r="D1867" i="1" s="1"/>
  <c r="D1868" i="1" s="1"/>
  <c r="D1869" i="1" s="1"/>
  <c r="D1870" i="1" s="1"/>
  <c r="D1871" i="1" s="1"/>
  <c r="D1872" i="1" s="1"/>
  <c r="D1873" i="1" s="1"/>
  <c r="D1874" i="1" s="1"/>
  <c r="D1875" i="1" s="1"/>
  <c r="D1876" i="1" s="1"/>
  <c r="D1877" i="1" s="1"/>
  <c r="D1878" i="1" s="1"/>
  <c r="D1879" i="1" s="1"/>
  <c r="D1880" i="1" s="1"/>
  <c r="D1881" i="1" s="1"/>
  <c r="D1882" i="1" s="1"/>
  <c r="D1883" i="1" s="1"/>
  <c r="D1884" i="1" s="1"/>
  <c r="D1885" i="1" s="1"/>
  <c r="D1886" i="1" s="1"/>
  <c r="D1887" i="1" s="1"/>
  <c r="D1888" i="1" s="1"/>
  <c r="D1889" i="1" s="1"/>
  <c r="D1890" i="1" s="1"/>
  <c r="D1891" i="1" s="1"/>
  <c r="D1892" i="1" s="1"/>
  <c r="D1893" i="1" s="1"/>
  <c r="D1894" i="1" s="1"/>
  <c r="D1895" i="1" s="1"/>
  <c r="D1896" i="1" s="1"/>
  <c r="D1897" i="1" s="1"/>
  <c r="D1898" i="1" s="1"/>
  <c r="D1899" i="1" s="1"/>
  <c r="D1900" i="1" s="1"/>
  <c r="D1901" i="1" s="1"/>
  <c r="D204" i="1"/>
  <c r="D205" i="1" s="1"/>
  <c r="D206" i="1" s="1"/>
  <c r="D207" i="1" s="1"/>
  <c r="D208" i="1" s="1"/>
  <c r="D209" i="1" s="1"/>
  <c r="D210" i="1" s="1"/>
  <c r="D211" i="1" s="1"/>
  <c r="E6" i="2"/>
  <c r="C6" i="2"/>
  <c r="B6" i="6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9" i="2"/>
  <c r="B10" i="2"/>
  <c r="B11" i="2"/>
  <c r="B12" i="2"/>
  <c r="B13" i="2" s="1"/>
  <c r="B14" i="2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C199" i="1" l="1"/>
  <c r="B199" i="1" s="1"/>
  <c r="C168" i="1"/>
  <c r="B168" i="1" s="1"/>
  <c r="C200" i="1"/>
  <c r="B200" i="1" s="1"/>
  <c r="C2" i="1"/>
  <c r="C60" i="1"/>
  <c r="B60" i="1" s="1"/>
  <c r="C152" i="1"/>
  <c r="B152" i="1" s="1"/>
  <c r="C43" i="1"/>
  <c r="B43" i="1" s="1"/>
  <c r="C17" i="1"/>
  <c r="B17" i="1" s="1"/>
  <c r="C41" i="1"/>
  <c r="B41" i="1" s="1"/>
  <c r="C209" i="1"/>
  <c r="B209" i="1" s="1"/>
  <c r="C217" i="1"/>
  <c r="B217" i="1" s="1"/>
  <c r="C225" i="1"/>
  <c r="B225" i="1" s="1"/>
  <c r="C233" i="1"/>
  <c r="B233" i="1" s="1"/>
  <c r="C241" i="1"/>
  <c r="B241" i="1" s="1"/>
  <c r="C249" i="1"/>
  <c r="B249" i="1" s="1"/>
  <c r="C257" i="1"/>
  <c r="B257" i="1" s="1"/>
  <c r="C265" i="1"/>
  <c r="B265" i="1" s="1"/>
  <c r="C273" i="1"/>
  <c r="B273" i="1" s="1"/>
  <c r="C281" i="1"/>
  <c r="B281" i="1" s="1"/>
  <c r="C289" i="1"/>
  <c r="B289" i="1" s="1"/>
  <c r="C297" i="1"/>
  <c r="B297" i="1" s="1"/>
  <c r="C305" i="1"/>
  <c r="B305" i="1" s="1"/>
  <c r="C313" i="1"/>
  <c r="B313" i="1" s="1"/>
  <c r="C321" i="1"/>
  <c r="B321" i="1" s="1"/>
  <c r="C329" i="1"/>
  <c r="B329" i="1" s="1"/>
  <c r="C337" i="1"/>
  <c r="B337" i="1" s="1"/>
  <c r="C345" i="1"/>
  <c r="B345" i="1" s="1"/>
  <c r="C353" i="1"/>
  <c r="B353" i="1" s="1"/>
  <c r="C361" i="1"/>
  <c r="B361" i="1" s="1"/>
  <c r="C369" i="1"/>
  <c r="B369" i="1" s="1"/>
  <c r="C377" i="1"/>
  <c r="B377" i="1" s="1"/>
  <c r="C385" i="1"/>
  <c r="B385" i="1" s="1"/>
  <c r="C393" i="1"/>
  <c r="B393" i="1" s="1"/>
  <c r="C401" i="1"/>
  <c r="B401" i="1" s="1"/>
  <c r="C409" i="1"/>
  <c r="B409" i="1" s="1"/>
  <c r="C417" i="1"/>
  <c r="B417" i="1" s="1"/>
  <c r="C425" i="1"/>
  <c r="B425" i="1" s="1"/>
  <c r="C433" i="1"/>
  <c r="B433" i="1" s="1"/>
  <c r="C441" i="1"/>
  <c r="B441" i="1" s="1"/>
  <c r="C449" i="1"/>
  <c r="B449" i="1" s="1"/>
  <c r="C457" i="1"/>
  <c r="B457" i="1" s="1"/>
  <c r="C465" i="1"/>
  <c r="B465" i="1" s="1"/>
  <c r="C473" i="1"/>
  <c r="B473" i="1" s="1"/>
  <c r="C481" i="1"/>
  <c r="B481" i="1" s="1"/>
  <c r="C489" i="1"/>
  <c r="B489" i="1" s="1"/>
  <c r="C497" i="1"/>
  <c r="B497" i="1" s="1"/>
  <c r="C505" i="1"/>
  <c r="B505" i="1" s="1"/>
  <c r="C513" i="1"/>
  <c r="B513" i="1" s="1"/>
  <c r="C521" i="1"/>
  <c r="B521" i="1" s="1"/>
  <c r="C529" i="1"/>
  <c r="B529" i="1" s="1"/>
  <c r="C537" i="1"/>
  <c r="B537" i="1" s="1"/>
  <c r="C545" i="1"/>
  <c r="B545" i="1" s="1"/>
  <c r="C553" i="1"/>
  <c r="B553" i="1" s="1"/>
  <c r="C561" i="1"/>
  <c r="B561" i="1" s="1"/>
  <c r="C569" i="1"/>
  <c r="B569" i="1" s="1"/>
  <c r="C577" i="1"/>
  <c r="B577" i="1" s="1"/>
  <c r="C585" i="1"/>
  <c r="B585" i="1" s="1"/>
  <c r="C593" i="1"/>
  <c r="B593" i="1" s="1"/>
  <c r="C601" i="1"/>
  <c r="B601" i="1" s="1"/>
  <c r="C609" i="1"/>
  <c r="B609" i="1" s="1"/>
  <c r="C617" i="1"/>
  <c r="B617" i="1" s="1"/>
  <c r="C625" i="1"/>
  <c r="B625" i="1" s="1"/>
  <c r="C633" i="1"/>
  <c r="B633" i="1" s="1"/>
  <c r="C641" i="1"/>
  <c r="B641" i="1" s="1"/>
  <c r="C649" i="1"/>
  <c r="B649" i="1" s="1"/>
  <c r="C657" i="1"/>
  <c r="B657" i="1" s="1"/>
  <c r="C665" i="1"/>
  <c r="B665" i="1" s="1"/>
  <c r="C673" i="1"/>
  <c r="B673" i="1" s="1"/>
  <c r="C681" i="1"/>
  <c r="B681" i="1" s="1"/>
  <c r="C689" i="1"/>
  <c r="B689" i="1" s="1"/>
  <c r="C697" i="1"/>
  <c r="B697" i="1" s="1"/>
  <c r="C705" i="1"/>
  <c r="B705" i="1" s="1"/>
  <c r="C713" i="1"/>
  <c r="B713" i="1" s="1"/>
  <c r="C721" i="1"/>
  <c r="B721" i="1" s="1"/>
  <c r="C729" i="1"/>
  <c r="B729" i="1" s="1"/>
  <c r="C737" i="1"/>
  <c r="B737" i="1" s="1"/>
  <c r="C745" i="1"/>
  <c r="B745" i="1" s="1"/>
  <c r="C753" i="1"/>
  <c r="B753" i="1" s="1"/>
  <c r="C761" i="1"/>
  <c r="B761" i="1" s="1"/>
  <c r="C769" i="1"/>
  <c r="B769" i="1" s="1"/>
  <c r="C777" i="1"/>
  <c r="B777" i="1" s="1"/>
  <c r="C785" i="1"/>
  <c r="B785" i="1" s="1"/>
  <c r="C793" i="1"/>
  <c r="B793" i="1" s="1"/>
  <c r="C801" i="1"/>
  <c r="B801" i="1" s="1"/>
  <c r="C809" i="1"/>
  <c r="B809" i="1" s="1"/>
  <c r="C817" i="1"/>
  <c r="B817" i="1" s="1"/>
  <c r="C825" i="1"/>
  <c r="B825" i="1" s="1"/>
  <c r="C833" i="1"/>
  <c r="B833" i="1" s="1"/>
  <c r="C841" i="1"/>
  <c r="B841" i="1" s="1"/>
  <c r="C849" i="1"/>
  <c r="B849" i="1" s="1"/>
  <c r="C857" i="1"/>
  <c r="B857" i="1" s="1"/>
  <c r="C865" i="1"/>
  <c r="B865" i="1" s="1"/>
  <c r="C873" i="1"/>
  <c r="B873" i="1" s="1"/>
  <c r="C202" i="1"/>
  <c r="B202" i="1" s="1"/>
  <c r="C210" i="1"/>
  <c r="B210" i="1" s="1"/>
  <c r="C218" i="1"/>
  <c r="B218" i="1" s="1"/>
  <c r="C226" i="1"/>
  <c r="B226" i="1" s="1"/>
  <c r="C234" i="1"/>
  <c r="B234" i="1" s="1"/>
  <c r="C242" i="1"/>
  <c r="B242" i="1" s="1"/>
  <c r="C250" i="1"/>
  <c r="B250" i="1" s="1"/>
  <c r="C258" i="1"/>
  <c r="B258" i="1" s="1"/>
  <c r="C266" i="1"/>
  <c r="B266" i="1" s="1"/>
  <c r="C274" i="1"/>
  <c r="B274" i="1" s="1"/>
  <c r="C282" i="1"/>
  <c r="B282" i="1" s="1"/>
  <c r="C290" i="1"/>
  <c r="B290" i="1" s="1"/>
  <c r="C298" i="1"/>
  <c r="B298" i="1" s="1"/>
  <c r="C306" i="1"/>
  <c r="B306" i="1" s="1"/>
  <c r="C314" i="1"/>
  <c r="B314" i="1" s="1"/>
  <c r="C322" i="1"/>
  <c r="B322" i="1" s="1"/>
  <c r="C330" i="1"/>
  <c r="B330" i="1" s="1"/>
  <c r="C338" i="1"/>
  <c r="B338" i="1" s="1"/>
  <c r="C346" i="1"/>
  <c r="B346" i="1" s="1"/>
  <c r="C354" i="1"/>
  <c r="B354" i="1" s="1"/>
  <c r="C362" i="1"/>
  <c r="B362" i="1" s="1"/>
  <c r="C370" i="1"/>
  <c r="B370" i="1" s="1"/>
  <c r="C378" i="1"/>
  <c r="B378" i="1" s="1"/>
  <c r="C386" i="1"/>
  <c r="B386" i="1" s="1"/>
  <c r="C394" i="1"/>
  <c r="B394" i="1" s="1"/>
  <c r="C402" i="1"/>
  <c r="B402" i="1" s="1"/>
  <c r="C410" i="1"/>
  <c r="B410" i="1" s="1"/>
  <c r="C418" i="1"/>
  <c r="B418" i="1" s="1"/>
  <c r="C426" i="1"/>
  <c r="B426" i="1" s="1"/>
  <c r="C434" i="1"/>
  <c r="B434" i="1" s="1"/>
  <c r="C442" i="1"/>
  <c r="B442" i="1" s="1"/>
  <c r="C450" i="1"/>
  <c r="B450" i="1" s="1"/>
  <c r="C458" i="1"/>
  <c r="B458" i="1" s="1"/>
  <c r="C466" i="1"/>
  <c r="B466" i="1" s="1"/>
  <c r="C474" i="1"/>
  <c r="B474" i="1" s="1"/>
  <c r="C482" i="1"/>
  <c r="B482" i="1" s="1"/>
  <c r="C490" i="1"/>
  <c r="B490" i="1" s="1"/>
  <c r="C498" i="1"/>
  <c r="B498" i="1" s="1"/>
  <c r="C506" i="1"/>
  <c r="B506" i="1" s="1"/>
  <c r="C514" i="1"/>
  <c r="B514" i="1" s="1"/>
  <c r="C522" i="1"/>
  <c r="B522" i="1" s="1"/>
  <c r="C530" i="1"/>
  <c r="B530" i="1" s="1"/>
  <c r="C538" i="1"/>
  <c r="B538" i="1" s="1"/>
  <c r="C546" i="1"/>
  <c r="B546" i="1" s="1"/>
  <c r="C554" i="1"/>
  <c r="B554" i="1" s="1"/>
  <c r="C562" i="1"/>
  <c r="B562" i="1" s="1"/>
  <c r="C570" i="1"/>
  <c r="B570" i="1" s="1"/>
  <c r="C578" i="1"/>
  <c r="B578" i="1" s="1"/>
  <c r="C586" i="1"/>
  <c r="B586" i="1" s="1"/>
  <c r="C594" i="1"/>
  <c r="B594" i="1" s="1"/>
  <c r="C602" i="1"/>
  <c r="B602" i="1" s="1"/>
  <c r="C610" i="1"/>
  <c r="B610" i="1" s="1"/>
  <c r="C203" i="1"/>
  <c r="B203" i="1" s="1"/>
  <c r="C211" i="1"/>
  <c r="B211" i="1" s="1"/>
  <c r="C219" i="1"/>
  <c r="B219" i="1" s="1"/>
  <c r="C227" i="1"/>
  <c r="B227" i="1" s="1"/>
  <c r="C235" i="1"/>
  <c r="B235" i="1" s="1"/>
  <c r="C243" i="1"/>
  <c r="B243" i="1" s="1"/>
  <c r="C251" i="1"/>
  <c r="B251" i="1" s="1"/>
  <c r="C259" i="1"/>
  <c r="B259" i="1" s="1"/>
  <c r="C267" i="1"/>
  <c r="B267" i="1" s="1"/>
  <c r="C275" i="1"/>
  <c r="B275" i="1" s="1"/>
  <c r="C283" i="1"/>
  <c r="B283" i="1" s="1"/>
  <c r="C291" i="1"/>
  <c r="B291" i="1" s="1"/>
  <c r="C299" i="1"/>
  <c r="B299" i="1" s="1"/>
  <c r="C307" i="1"/>
  <c r="B307" i="1" s="1"/>
  <c r="C315" i="1"/>
  <c r="B315" i="1" s="1"/>
  <c r="C323" i="1"/>
  <c r="B323" i="1" s="1"/>
  <c r="C331" i="1"/>
  <c r="B331" i="1" s="1"/>
  <c r="C339" i="1"/>
  <c r="B339" i="1" s="1"/>
  <c r="C347" i="1"/>
  <c r="B347" i="1" s="1"/>
  <c r="C355" i="1"/>
  <c r="B355" i="1" s="1"/>
  <c r="C363" i="1"/>
  <c r="B363" i="1" s="1"/>
  <c r="C371" i="1"/>
  <c r="B371" i="1" s="1"/>
  <c r="C379" i="1"/>
  <c r="B379" i="1" s="1"/>
  <c r="C387" i="1"/>
  <c r="B387" i="1" s="1"/>
  <c r="C395" i="1"/>
  <c r="B395" i="1" s="1"/>
  <c r="C403" i="1"/>
  <c r="B403" i="1" s="1"/>
  <c r="C411" i="1"/>
  <c r="B411" i="1" s="1"/>
  <c r="C419" i="1"/>
  <c r="B419" i="1" s="1"/>
  <c r="C427" i="1"/>
  <c r="B427" i="1" s="1"/>
  <c r="C435" i="1"/>
  <c r="B435" i="1" s="1"/>
  <c r="C443" i="1"/>
  <c r="B443" i="1" s="1"/>
  <c r="C451" i="1"/>
  <c r="B451" i="1" s="1"/>
  <c r="C459" i="1"/>
  <c r="B459" i="1" s="1"/>
  <c r="C467" i="1"/>
  <c r="B467" i="1" s="1"/>
  <c r="C475" i="1"/>
  <c r="B475" i="1" s="1"/>
  <c r="C483" i="1"/>
  <c r="B483" i="1" s="1"/>
  <c r="C491" i="1"/>
  <c r="B491" i="1" s="1"/>
  <c r="C499" i="1"/>
  <c r="B499" i="1" s="1"/>
  <c r="C507" i="1"/>
  <c r="B507" i="1" s="1"/>
  <c r="C515" i="1"/>
  <c r="B515" i="1" s="1"/>
  <c r="C523" i="1"/>
  <c r="B523" i="1" s="1"/>
  <c r="C531" i="1"/>
  <c r="B531" i="1" s="1"/>
  <c r="C539" i="1"/>
  <c r="B539" i="1" s="1"/>
  <c r="C547" i="1"/>
  <c r="B547" i="1" s="1"/>
  <c r="C555" i="1"/>
  <c r="B555" i="1" s="1"/>
  <c r="C563" i="1"/>
  <c r="B563" i="1" s="1"/>
  <c r="C571" i="1"/>
  <c r="B571" i="1" s="1"/>
  <c r="C579" i="1"/>
  <c r="B579" i="1" s="1"/>
  <c r="C587" i="1"/>
  <c r="B587" i="1" s="1"/>
  <c r="C595" i="1"/>
  <c r="B595" i="1" s="1"/>
  <c r="C603" i="1"/>
  <c r="B603" i="1" s="1"/>
  <c r="C611" i="1"/>
  <c r="B611" i="1" s="1"/>
  <c r="C619" i="1"/>
  <c r="B619" i="1" s="1"/>
  <c r="C627" i="1"/>
  <c r="B627" i="1" s="1"/>
  <c r="C635" i="1"/>
  <c r="B635" i="1" s="1"/>
  <c r="C643" i="1"/>
  <c r="B643" i="1" s="1"/>
  <c r="C651" i="1"/>
  <c r="B651" i="1" s="1"/>
  <c r="C659" i="1"/>
  <c r="B659" i="1" s="1"/>
  <c r="C667" i="1"/>
  <c r="B667" i="1" s="1"/>
  <c r="C675" i="1"/>
  <c r="B675" i="1" s="1"/>
  <c r="C683" i="1"/>
  <c r="B683" i="1" s="1"/>
  <c r="C691" i="1"/>
  <c r="B691" i="1" s="1"/>
  <c r="C699" i="1"/>
  <c r="B699" i="1" s="1"/>
  <c r="C707" i="1"/>
  <c r="B707" i="1" s="1"/>
  <c r="C715" i="1"/>
  <c r="B715" i="1" s="1"/>
  <c r="C723" i="1"/>
  <c r="B723" i="1" s="1"/>
  <c r="C731" i="1"/>
  <c r="B731" i="1" s="1"/>
  <c r="C739" i="1"/>
  <c r="B739" i="1" s="1"/>
  <c r="C747" i="1"/>
  <c r="B747" i="1" s="1"/>
  <c r="C755" i="1"/>
  <c r="B755" i="1" s="1"/>
  <c r="C763" i="1"/>
  <c r="B763" i="1" s="1"/>
  <c r="C771" i="1"/>
  <c r="B771" i="1" s="1"/>
  <c r="C779" i="1"/>
  <c r="B779" i="1" s="1"/>
  <c r="C787" i="1"/>
  <c r="B787" i="1" s="1"/>
  <c r="C795" i="1"/>
  <c r="B795" i="1" s="1"/>
  <c r="C803" i="1"/>
  <c r="B803" i="1" s="1"/>
  <c r="C811" i="1"/>
  <c r="B811" i="1" s="1"/>
  <c r="C819" i="1"/>
  <c r="B819" i="1" s="1"/>
  <c r="C827" i="1"/>
  <c r="B827" i="1" s="1"/>
  <c r="C835" i="1"/>
  <c r="B835" i="1" s="1"/>
  <c r="C843" i="1"/>
  <c r="B843" i="1" s="1"/>
  <c r="C851" i="1"/>
  <c r="B851" i="1" s="1"/>
  <c r="C859" i="1"/>
  <c r="B859" i="1" s="1"/>
  <c r="C867" i="1"/>
  <c r="B867" i="1" s="1"/>
  <c r="C875" i="1"/>
  <c r="B875" i="1" s="1"/>
  <c r="C204" i="1"/>
  <c r="B204" i="1" s="1"/>
  <c r="C212" i="1"/>
  <c r="B212" i="1" s="1"/>
  <c r="C220" i="1"/>
  <c r="B220" i="1" s="1"/>
  <c r="C228" i="1"/>
  <c r="B228" i="1" s="1"/>
  <c r="C236" i="1"/>
  <c r="B236" i="1" s="1"/>
  <c r="C244" i="1"/>
  <c r="B244" i="1" s="1"/>
  <c r="C252" i="1"/>
  <c r="B252" i="1" s="1"/>
  <c r="C260" i="1"/>
  <c r="B260" i="1" s="1"/>
  <c r="C268" i="1"/>
  <c r="B268" i="1" s="1"/>
  <c r="C276" i="1"/>
  <c r="B276" i="1" s="1"/>
  <c r="C284" i="1"/>
  <c r="B284" i="1" s="1"/>
  <c r="C292" i="1"/>
  <c r="B292" i="1" s="1"/>
  <c r="C300" i="1"/>
  <c r="B300" i="1" s="1"/>
  <c r="C308" i="1"/>
  <c r="B308" i="1" s="1"/>
  <c r="C316" i="1"/>
  <c r="B316" i="1" s="1"/>
  <c r="C324" i="1"/>
  <c r="B324" i="1" s="1"/>
  <c r="C332" i="1"/>
  <c r="B332" i="1" s="1"/>
  <c r="C340" i="1"/>
  <c r="B340" i="1" s="1"/>
  <c r="C348" i="1"/>
  <c r="B348" i="1" s="1"/>
  <c r="C356" i="1"/>
  <c r="B356" i="1" s="1"/>
  <c r="C364" i="1"/>
  <c r="B364" i="1" s="1"/>
  <c r="C372" i="1"/>
  <c r="B372" i="1" s="1"/>
  <c r="C380" i="1"/>
  <c r="B380" i="1" s="1"/>
  <c r="C388" i="1"/>
  <c r="B388" i="1" s="1"/>
  <c r="C396" i="1"/>
  <c r="B396" i="1" s="1"/>
  <c r="C404" i="1"/>
  <c r="B404" i="1" s="1"/>
  <c r="C412" i="1"/>
  <c r="B412" i="1" s="1"/>
  <c r="C420" i="1"/>
  <c r="B420" i="1" s="1"/>
  <c r="C428" i="1"/>
  <c r="B428" i="1" s="1"/>
  <c r="C436" i="1"/>
  <c r="B436" i="1" s="1"/>
  <c r="C444" i="1"/>
  <c r="B444" i="1" s="1"/>
  <c r="C452" i="1"/>
  <c r="B452" i="1" s="1"/>
  <c r="C460" i="1"/>
  <c r="B460" i="1" s="1"/>
  <c r="C468" i="1"/>
  <c r="B468" i="1" s="1"/>
  <c r="C476" i="1"/>
  <c r="B476" i="1" s="1"/>
  <c r="C484" i="1"/>
  <c r="B484" i="1" s="1"/>
  <c r="C492" i="1"/>
  <c r="B492" i="1" s="1"/>
  <c r="C500" i="1"/>
  <c r="B500" i="1" s="1"/>
  <c r="C508" i="1"/>
  <c r="B508" i="1" s="1"/>
  <c r="C516" i="1"/>
  <c r="B516" i="1" s="1"/>
  <c r="C524" i="1"/>
  <c r="B524" i="1" s="1"/>
  <c r="C532" i="1"/>
  <c r="B532" i="1" s="1"/>
  <c r="C540" i="1"/>
  <c r="B540" i="1" s="1"/>
  <c r="C548" i="1"/>
  <c r="B548" i="1" s="1"/>
  <c r="C556" i="1"/>
  <c r="B556" i="1" s="1"/>
  <c r="C564" i="1"/>
  <c r="B564" i="1" s="1"/>
  <c r="C572" i="1"/>
  <c r="B572" i="1" s="1"/>
  <c r="C580" i="1"/>
  <c r="B580" i="1" s="1"/>
  <c r="C588" i="1"/>
  <c r="B588" i="1" s="1"/>
  <c r="C596" i="1"/>
  <c r="B596" i="1" s="1"/>
  <c r="C604" i="1"/>
  <c r="B604" i="1" s="1"/>
  <c r="C612" i="1"/>
  <c r="B612" i="1" s="1"/>
  <c r="C620" i="1"/>
  <c r="B620" i="1" s="1"/>
  <c r="C628" i="1"/>
  <c r="B628" i="1" s="1"/>
  <c r="C636" i="1"/>
  <c r="B636" i="1" s="1"/>
  <c r="C644" i="1"/>
  <c r="B644" i="1" s="1"/>
  <c r="C652" i="1"/>
  <c r="B652" i="1" s="1"/>
  <c r="C660" i="1"/>
  <c r="B660" i="1" s="1"/>
  <c r="C668" i="1"/>
  <c r="B668" i="1" s="1"/>
  <c r="C676" i="1"/>
  <c r="B676" i="1" s="1"/>
  <c r="C684" i="1"/>
  <c r="B684" i="1" s="1"/>
  <c r="C692" i="1"/>
  <c r="B692" i="1" s="1"/>
  <c r="C700" i="1"/>
  <c r="B700" i="1" s="1"/>
  <c r="C708" i="1"/>
  <c r="B708" i="1" s="1"/>
  <c r="C716" i="1"/>
  <c r="B716" i="1" s="1"/>
  <c r="C724" i="1"/>
  <c r="B724" i="1" s="1"/>
  <c r="C732" i="1"/>
  <c r="B732" i="1" s="1"/>
  <c r="C740" i="1"/>
  <c r="B740" i="1" s="1"/>
  <c r="C748" i="1"/>
  <c r="B748" i="1" s="1"/>
  <c r="C756" i="1"/>
  <c r="B756" i="1" s="1"/>
  <c r="C764" i="1"/>
  <c r="B764" i="1" s="1"/>
  <c r="C772" i="1"/>
  <c r="B772" i="1" s="1"/>
  <c r="C780" i="1"/>
  <c r="B780" i="1" s="1"/>
  <c r="C788" i="1"/>
  <c r="B788" i="1" s="1"/>
  <c r="C796" i="1"/>
  <c r="B796" i="1" s="1"/>
  <c r="C804" i="1"/>
  <c r="B804" i="1" s="1"/>
  <c r="C812" i="1"/>
  <c r="B812" i="1" s="1"/>
  <c r="C820" i="1"/>
  <c r="B820" i="1" s="1"/>
  <c r="C828" i="1"/>
  <c r="B828" i="1" s="1"/>
  <c r="C836" i="1"/>
  <c r="B836" i="1" s="1"/>
  <c r="C844" i="1"/>
  <c r="B844" i="1" s="1"/>
  <c r="C852" i="1"/>
  <c r="B852" i="1" s="1"/>
  <c r="C860" i="1"/>
  <c r="B860" i="1" s="1"/>
  <c r="C868" i="1"/>
  <c r="B868" i="1" s="1"/>
  <c r="C876" i="1"/>
  <c r="B876" i="1" s="1"/>
  <c r="C205" i="1"/>
  <c r="B205" i="1" s="1"/>
  <c r="C213" i="1"/>
  <c r="B213" i="1" s="1"/>
  <c r="C221" i="1"/>
  <c r="B221" i="1" s="1"/>
  <c r="C229" i="1"/>
  <c r="B229" i="1" s="1"/>
  <c r="C237" i="1"/>
  <c r="B237" i="1" s="1"/>
  <c r="C245" i="1"/>
  <c r="B245" i="1" s="1"/>
  <c r="C253" i="1"/>
  <c r="B253" i="1" s="1"/>
  <c r="C261" i="1"/>
  <c r="B261" i="1" s="1"/>
  <c r="C269" i="1"/>
  <c r="B269" i="1" s="1"/>
  <c r="C277" i="1"/>
  <c r="B277" i="1" s="1"/>
  <c r="C285" i="1"/>
  <c r="B285" i="1" s="1"/>
  <c r="C293" i="1"/>
  <c r="B293" i="1" s="1"/>
  <c r="C301" i="1"/>
  <c r="B301" i="1" s="1"/>
  <c r="C309" i="1"/>
  <c r="B309" i="1" s="1"/>
  <c r="C317" i="1"/>
  <c r="B317" i="1" s="1"/>
  <c r="C325" i="1"/>
  <c r="B325" i="1" s="1"/>
  <c r="C333" i="1"/>
  <c r="B333" i="1" s="1"/>
  <c r="C341" i="1"/>
  <c r="B341" i="1" s="1"/>
  <c r="C349" i="1"/>
  <c r="B349" i="1" s="1"/>
  <c r="C357" i="1"/>
  <c r="B357" i="1" s="1"/>
  <c r="C365" i="1"/>
  <c r="B365" i="1" s="1"/>
  <c r="C373" i="1"/>
  <c r="B373" i="1" s="1"/>
  <c r="C381" i="1"/>
  <c r="B381" i="1" s="1"/>
  <c r="C389" i="1"/>
  <c r="B389" i="1" s="1"/>
  <c r="C397" i="1"/>
  <c r="B397" i="1" s="1"/>
  <c r="C405" i="1"/>
  <c r="B405" i="1" s="1"/>
  <c r="C413" i="1"/>
  <c r="B413" i="1" s="1"/>
  <c r="C421" i="1"/>
  <c r="B421" i="1" s="1"/>
  <c r="C429" i="1"/>
  <c r="B429" i="1" s="1"/>
  <c r="C437" i="1"/>
  <c r="B437" i="1" s="1"/>
  <c r="C445" i="1"/>
  <c r="B445" i="1" s="1"/>
  <c r="C453" i="1"/>
  <c r="B453" i="1" s="1"/>
  <c r="C461" i="1"/>
  <c r="B461" i="1" s="1"/>
  <c r="C469" i="1"/>
  <c r="B469" i="1" s="1"/>
  <c r="C477" i="1"/>
  <c r="B477" i="1" s="1"/>
  <c r="C485" i="1"/>
  <c r="B485" i="1" s="1"/>
  <c r="C493" i="1"/>
  <c r="B493" i="1" s="1"/>
  <c r="C501" i="1"/>
  <c r="B501" i="1" s="1"/>
  <c r="C509" i="1"/>
  <c r="B509" i="1" s="1"/>
  <c r="C517" i="1"/>
  <c r="B517" i="1" s="1"/>
  <c r="C525" i="1"/>
  <c r="B525" i="1" s="1"/>
  <c r="C533" i="1"/>
  <c r="B533" i="1" s="1"/>
  <c r="C541" i="1"/>
  <c r="B541" i="1" s="1"/>
  <c r="C549" i="1"/>
  <c r="B549" i="1" s="1"/>
  <c r="C557" i="1"/>
  <c r="B557" i="1" s="1"/>
  <c r="C565" i="1"/>
  <c r="B565" i="1" s="1"/>
  <c r="C573" i="1"/>
  <c r="B573" i="1" s="1"/>
  <c r="C581" i="1"/>
  <c r="B581" i="1" s="1"/>
  <c r="C589" i="1"/>
  <c r="B589" i="1" s="1"/>
  <c r="C597" i="1"/>
  <c r="B597" i="1" s="1"/>
  <c r="C605" i="1"/>
  <c r="B605" i="1" s="1"/>
  <c r="C613" i="1"/>
  <c r="B613" i="1" s="1"/>
  <c r="C621" i="1"/>
  <c r="B621" i="1" s="1"/>
  <c r="C629" i="1"/>
  <c r="B629" i="1" s="1"/>
  <c r="C637" i="1"/>
  <c r="B637" i="1" s="1"/>
  <c r="C645" i="1"/>
  <c r="B645" i="1" s="1"/>
  <c r="C206" i="1"/>
  <c r="B206" i="1" s="1"/>
  <c r="C214" i="1"/>
  <c r="B214" i="1" s="1"/>
  <c r="C222" i="1"/>
  <c r="B222" i="1" s="1"/>
  <c r="C230" i="1"/>
  <c r="B230" i="1" s="1"/>
  <c r="C238" i="1"/>
  <c r="B238" i="1" s="1"/>
  <c r="C246" i="1"/>
  <c r="B246" i="1" s="1"/>
  <c r="C254" i="1"/>
  <c r="B254" i="1" s="1"/>
  <c r="C262" i="1"/>
  <c r="B262" i="1" s="1"/>
  <c r="C270" i="1"/>
  <c r="B270" i="1" s="1"/>
  <c r="C278" i="1"/>
  <c r="B278" i="1" s="1"/>
  <c r="C286" i="1"/>
  <c r="B286" i="1" s="1"/>
  <c r="C294" i="1"/>
  <c r="B294" i="1" s="1"/>
  <c r="C302" i="1"/>
  <c r="B302" i="1" s="1"/>
  <c r="C310" i="1"/>
  <c r="B310" i="1" s="1"/>
  <c r="C318" i="1"/>
  <c r="B318" i="1" s="1"/>
  <c r="C326" i="1"/>
  <c r="B326" i="1" s="1"/>
  <c r="C334" i="1"/>
  <c r="B334" i="1" s="1"/>
  <c r="C342" i="1"/>
  <c r="B342" i="1" s="1"/>
  <c r="C350" i="1"/>
  <c r="B350" i="1" s="1"/>
  <c r="C358" i="1"/>
  <c r="B358" i="1" s="1"/>
  <c r="C366" i="1"/>
  <c r="B366" i="1" s="1"/>
  <c r="C374" i="1"/>
  <c r="B374" i="1" s="1"/>
  <c r="C382" i="1"/>
  <c r="B382" i="1" s="1"/>
  <c r="C390" i="1"/>
  <c r="B390" i="1" s="1"/>
  <c r="C398" i="1"/>
  <c r="B398" i="1" s="1"/>
  <c r="C406" i="1"/>
  <c r="B406" i="1" s="1"/>
  <c r="C414" i="1"/>
  <c r="B414" i="1" s="1"/>
  <c r="C422" i="1"/>
  <c r="B422" i="1" s="1"/>
  <c r="C430" i="1"/>
  <c r="B430" i="1" s="1"/>
  <c r="C438" i="1"/>
  <c r="B438" i="1" s="1"/>
  <c r="C446" i="1"/>
  <c r="B446" i="1" s="1"/>
  <c r="C454" i="1"/>
  <c r="B454" i="1" s="1"/>
  <c r="C462" i="1"/>
  <c r="B462" i="1" s="1"/>
  <c r="C470" i="1"/>
  <c r="B470" i="1" s="1"/>
  <c r="C478" i="1"/>
  <c r="B478" i="1" s="1"/>
  <c r="C486" i="1"/>
  <c r="B486" i="1" s="1"/>
  <c r="C494" i="1"/>
  <c r="B494" i="1" s="1"/>
  <c r="C502" i="1"/>
  <c r="B502" i="1" s="1"/>
  <c r="C510" i="1"/>
  <c r="B510" i="1" s="1"/>
  <c r="C518" i="1"/>
  <c r="B518" i="1" s="1"/>
  <c r="C526" i="1"/>
  <c r="B526" i="1" s="1"/>
  <c r="C534" i="1"/>
  <c r="B534" i="1" s="1"/>
  <c r="C542" i="1"/>
  <c r="B542" i="1" s="1"/>
  <c r="C550" i="1"/>
  <c r="B550" i="1" s="1"/>
  <c r="C558" i="1"/>
  <c r="B558" i="1" s="1"/>
  <c r="C566" i="1"/>
  <c r="B566" i="1" s="1"/>
  <c r="C574" i="1"/>
  <c r="B574" i="1" s="1"/>
  <c r="C582" i="1"/>
  <c r="B582" i="1" s="1"/>
  <c r="C590" i="1"/>
  <c r="B590" i="1" s="1"/>
  <c r="C598" i="1"/>
  <c r="B598" i="1" s="1"/>
  <c r="C606" i="1"/>
  <c r="B606" i="1" s="1"/>
  <c r="C614" i="1"/>
  <c r="B614" i="1" s="1"/>
  <c r="C622" i="1"/>
  <c r="B622" i="1" s="1"/>
  <c r="C630" i="1"/>
  <c r="B630" i="1" s="1"/>
  <c r="C638" i="1"/>
  <c r="B638" i="1" s="1"/>
  <c r="C646" i="1"/>
  <c r="B646" i="1" s="1"/>
  <c r="C654" i="1"/>
  <c r="B654" i="1" s="1"/>
  <c r="C662" i="1"/>
  <c r="B662" i="1" s="1"/>
  <c r="C670" i="1"/>
  <c r="B670" i="1" s="1"/>
  <c r="C678" i="1"/>
  <c r="B678" i="1" s="1"/>
  <c r="C686" i="1"/>
  <c r="B686" i="1" s="1"/>
  <c r="C694" i="1"/>
  <c r="B694" i="1" s="1"/>
  <c r="C702" i="1"/>
  <c r="B702" i="1" s="1"/>
  <c r="C710" i="1"/>
  <c r="B710" i="1" s="1"/>
  <c r="C718" i="1"/>
  <c r="B718" i="1" s="1"/>
  <c r="C726" i="1"/>
  <c r="B726" i="1" s="1"/>
  <c r="C734" i="1"/>
  <c r="B734" i="1" s="1"/>
  <c r="C742" i="1"/>
  <c r="B742" i="1" s="1"/>
  <c r="C750" i="1"/>
  <c r="B750" i="1" s="1"/>
  <c r="C758" i="1"/>
  <c r="B758" i="1" s="1"/>
  <c r="C766" i="1"/>
  <c r="B766" i="1" s="1"/>
  <c r="C774" i="1"/>
  <c r="B774" i="1" s="1"/>
  <c r="C782" i="1"/>
  <c r="B782" i="1" s="1"/>
  <c r="C790" i="1"/>
  <c r="B790" i="1" s="1"/>
  <c r="C798" i="1"/>
  <c r="B798" i="1" s="1"/>
  <c r="C806" i="1"/>
  <c r="B806" i="1" s="1"/>
  <c r="C814" i="1"/>
  <c r="B814" i="1" s="1"/>
  <c r="C822" i="1"/>
  <c r="B822" i="1" s="1"/>
  <c r="C830" i="1"/>
  <c r="B830" i="1" s="1"/>
  <c r="C838" i="1"/>
  <c r="B838" i="1" s="1"/>
  <c r="C846" i="1"/>
  <c r="B846" i="1" s="1"/>
  <c r="C854" i="1"/>
  <c r="B854" i="1" s="1"/>
  <c r="C862" i="1"/>
  <c r="B862" i="1" s="1"/>
  <c r="C207" i="1"/>
  <c r="B207" i="1" s="1"/>
  <c r="C215" i="1"/>
  <c r="B215" i="1" s="1"/>
  <c r="C223" i="1"/>
  <c r="B223" i="1" s="1"/>
  <c r="C231" i="1"/>
  <c r="B231" i="1" s="1"/>
  <c r="C239" i="1"/>
  <c r="B239" i="1" s="1"/>
  <c r="C247" i="1"/>
  <c r="B247" i="1" s="1"/>
  <c r="C255" i="1"/>
  <c r="B255" i="1" s="1"/>
  <c r="C263" i="1"/>
  <c r="B263" i="1" s="1"/>
  <c r="C271" i="1"/>
  <c r="B271" i="1" s="1"/>
  <c r="C279" i="1"/>
  <c r="B279" i="1" s="1"/>
  <c r="C287" i="1"/>
  <c r="B287" i="1" s="1"/>
  <c r="C295" i="1"/>
  <c r="B295" i="1" s="1"/>
  <c r="C303" i="1"/>
  <c r="B303" i="1" s="1"/>
  <c r="C311" i="1"/>
  <c r="B311" i="1" s="1"/>
  <c r="C319" i="1"/>
  <c r="B319" i="1" s="1"/>
  <c r="C327" i="1"/>
  <c r="B327" i="1" s="1"/>
  <c r="C335" i="1"/>
  <c r="B335" i="1" s="1"/>
  <c r="C343" i="1"/>
  <c r="B343" i="1" s="1"/>
  <c r="C351" i="1"/>
  <c r="B351" i="1" s="1"/>
  <c r="C359" i="1"/>
  <c r="B359" i="1" s="1"/>
  <c r="C367" i="1"/>
  <c r="B367" i="1" s="1"/>
  <c r="C375" i="1"/>
  <c r="B375" i="1" s="1"/>
  <c r="C383" i="1"/>
  <c r="B383" i="1" s="1"/>
  <c r="C391" i="1"/>
  <c r="B391" i="1" s="1"/>
  <c r="C399" i="1"/>
  <c r="B399" i="1" s="1"/>
  <c r="C407" i="1"/>
  <c r="B407" i="1" s="1"/>
  <c r="C415" i="1"/>
  <c r="B415" i="1" s="1"/>
  <c r="C423" i="1"/>
  <c r="B423" i="1" s="1"/>
  <c r="C431" i="1"/>
  <c r="B431" i="1" s="1"/>
  <c r="C439" i="1"/>
  <c r="B439" i="1" s="1"/>
  <c r="C447" i="1"/>
  <c r="B447" i="1" s="1"/>
  <c r="C455" i="1"/>
  <c r="B455" i="1" s="1"/>
  <c r="C463" i="1"/>
  <c r="B463" i="1" s="1"/>
  <c r="C471" i="1"/>
  <c r="B471" i="1" s="1"/>
  <c r="C479" i="1"/>
  <c r="B479" i="1" s="1"/>
  <c r="C487" i="1"/>
  <c r="B487" i="1" s="1"/>
  <c r="C495" i="1"/>
  <c r="B495" i="1" s="1"/>
  <c r="C503" i="1"/>
  <c r="B503" i="1" s="1"/>
  <c r="C511" i="1"/>
  <c r="B511" i="1" s="1"/>
  <c r="C519" i="1"/>
  <c r="B519" i="1" s="1"/>
  <c r="C527" i="1"/>
  <c r="B527" i="1" s="1"/>
  <c r="C535" i="1"/>
  <c r="B535" i="1" s="1"/>
  <c r="C543" i="1"/>
  <c r="B543" i="1" s="1"/>
  <c r="C551" i="1"/>
  <c r="B551" i="1" s="1"/>
  <c r="C559" i="1"/>
  <c r="B559" i="1" s="1"/>
  <c r="C567" i="1"/>
  <c r="B567" i="1" s="1"/>
  <c r="C575" i="1"/>
  <c r="B575" i="1" s="1"/>
  <c r="C583" i="1"/>
  <c r="B583" i="1" s="1"/>
  <c r="C591" i="1"/>
  <c r="B591" i="1" s="1"/>
  <c r="C599" i="1"/>
  <c r="B599" i="1" s="1"/>
  <c r="C607" i="1"/>
  <c r="B607" i="1" s="1"/>
  <c r="C615" i="1"/>
  <c r="B615" i="1" s="1"/>
  <c r="C623" i="1"/>
  <c r="B623" i="1" s="1"/>
  <c r="C631" i="1"/>
  <c r="B631" i="1" s="1"/>
  <c r="C639" i="1"/>
  <c r="B639" i="1" s="1"/>
  <c r="C647" i="1"/>
  <c r="B647" i="1" s="1"/>
  <c r="C208" i="1"/>
  <c r="B208" i="1" s="1"/>
  <c r="C216" i="1"/>
  <c r="B216" i="1" s="1"/>
  <c r="C224" i="1"/>
  <c r="B224" i="1" s="1"/>
  <c r="C232" i="1"/>
  <c r="B232" i="1" s="1"/>
  <c r="C240" i="1"/>
  <c r="B240" i="1" s="1"/>
  <c r="C248" i="1"/>
  <c r="B248" i="1" s="1"/>
  <c r="C256" i="1"/>
  <c r="B256" i="1" s="1"/>
  <c r="C264" i="1"/>
  <c r="B264" i="1" s="1"/>
  <c r="C272" i="1"/>
  <c r="B272" i="1" s="1"/>
  <c r="C280" i="1"/>
  <c r="B280" i="1" s="1"/>
  <c r="C288" i="1"/>
  <c r="B288" i="1" s="1"/>
  <c r="C296" i="1"/>
  <c r="B296" i="1" s="1"/>
  <c r="C304" i="1"/>
  <c r="B304" i="1" s="1"/>
  <c r="C312" i="1"/>
  <c r="B312" i="1" s="1"/>
  <c r="C320" i="1"/>
  <c r="B320" i="1" s="1"/>
  <c r="C328" i="1"/>
  <c r="B328" i="1" s="1"/>
  <c r="C336" i="1"/>
  <c r="B336" i="1" s="1"/>
  <c r="C344" i="1"/>
  <c r="B344" i="1" s="1"/>
  <c r="C352" i="1"/>
  <c r="B352" i="1" s="1"/>
  <c r="C360" i="1"/>
  <c r="B360" i="1" s="1"/>
  <c r="C368" i="1"/>
  <c r="B368" i="1" s="1"/>
  <c r="C376" i="1"/>
  <c r="B376" i="1" s="1"/>
  <c r="C384" i="1"/>
  <c r="B384" i="1" s="1"/>
  <c r="C392" i="1"/>
  <c r="B392" i="1" s="1"/>
  <c r="C400" i="1"/>
  <c r="B400" i="1" s="1"/>
  <c r="C408" i="1"/>
  <c r="B408" i="1" s="1"/>
  <c r="C416" i="1"/>
  <c r="B416" i="1" s="1"/>
  <c r="C424" i="1"/>
  <c r="B424" i="1" s="1"/>
  <c r="C432" i="1"/>
  <c r="B432" i="1" s="1"/>
  <c r="C440" i="1"/>
  <c r="B440" i="1" s="1"/>
  <c r="C448" i="1"/>
  <c r="B448" i="1" s="1"/>
  <c r="C456" i="1"/>
  <c r="B456" i="1" s="1"/>
  <c r="C464" i="1"/>
  <c r="B464" i="1" s="1"/>
  <c r="C472" i="1"/>
  <c r="B472" i="1" s="1"/>
  <c r="C480" i="1"/>
  <c r="B480" i="1" s="1"/>
  <c r="C488" i="1"/>
  <c r="B488" i="1" s="1"/>
  <c r="C496" i="1"/>
  <c r="B496" i="1" s="1"/>
  <c r="C504" i="1"/>
  <c r="B504" i="1" s="1"/>
  <c r="C512" i="1"/>
  <c r="B512" i="1" s="1"/>
  <c r="C520" i="1"/>
  <c r="B520" i="1" s="1"/>
  <c r="C528" i="1"/>
  <c r="B528" i="1" s="1"/>
  <c r="C536" i="1"/>
  <c r="B536" i="1" s="1"/>
  <c r="C544" i="1"/>
  <c r="B544" i="1" s="1"/>
  <c r="C552" i="1"/>
  <c r="B552" i="1" s="1"/>
  <c r="C560" i="1"/>
  <c r="B560" i="1" s="1"/>
  <c r="C568" i="1"/>
  <c r="B568" i="1" s="1"/>
  <c r="C576" i="1"/>
  <c r="B576" i="1" s="1"/>
  <c r="C584" i="1"/>
  <c r="B584" i="1" s="1"/>
  <c r="C592" i="1"/>
  <c r="B592" i="1" s="1"/>
  <c r="C600" i="1"/>
  <c r="B600" i="1" s="1"/>
  <c r="C608" i="1"/>
  <c r="B608" i="1" s="1"/>
  <c r="C616" i="1"/>
  <c r="B616" i="1" s="1"/>
  <c r="C624" i="1"/>
  <c r="B624" i="1" s="1"/>
  <c r="C632" i="1"/>
  <c r="B632" i="1" s="1"/>
  <c r="C640" i="1"/>
  <c r="B640" i="1" s="1"/>
  <c r="C648" i="1"/>
  <c r="B648" i="1" s="1"/>
  <c r="C618" i="1"/>
  <c r="B618" i="1" s="1"/>
  <c r="C658" i="1"/>
  <c r="B658" i="1" s="1"/>
  <c r="C674" i="1"/>
  <c r="B674" i="1" s="1"/>
  <c r="C690" i="1"/>
  <c r="B690" i="1" s="1"/>
  <c r="C706" i="1"/>
  <c r="B706" i="1" s="1"/>
  <c r="C722" i="1"/>
  <c r="B722" i="1" s="1"/>
  <c r="C738" i="1"/>
  <c r="B738" i="1" s="1"/>
  <c r="C754" i="1"/>
  <c r="B754" i="1" s="1"/>
  <c r="C770" i="1"/>
  <c r="B770" i="1" s="1"/>
  <c r="C786" i="1"/>
  <c r="B786" i="1" s="1"/>
  <c r="C802" i="1"/>
  <c r="B802" i="1" s="1"/>
  <c r="C818" i="1"/>
  <c r="B818" i="1" s="1"/>
  <c r="C834" i="1"/>
  <c r="B834" i="1" s="1"/>
  <c r="C850" i="1"/>
  <c r="B850" i="1" s="1"/>
  <c r="C866" i="1"/>
  <c r="B866" i="1" s="1"/>
  <c r="C879" i="1"/>
  <c r="B879" i="1" s="1"/>
  <c r="C887" i="1"/>
  <c r="B887" i="1" s="1"/>
  <c r="C895" i="1"/>
  <c r="B895" i="1" s="1"/>
  <c r="C903" i="1"/>
  <c r="B903" i="1" s="1"/>
  <c r="C911" i="1"/>
  <c r="B911" i="1" s="1"/>
  <c r="C919" i="1"/>
  <c r="B919" i="1" s="1"/>
  <c r="C927" i="1"/>
  <c r="B927" i="1" s="1"/>
  <c r="C935" i="1"/>
  <c r="B935" i="1" s="1"/>
  <c r="C943" i="1"/>
  <c r="B943" i="1" s="1"/>
  <c r="C951" i="1"/>
  <c r="B951" i="1" s="1"/>
  <c r="C959" i="1"/>
  <c r="B959" i="1" s="1"/>
  <c r="C967" i="1"/>
  <c r="B967" i="1" s="1"/>
  <c r="C975" i="1"/>
  <c r="B975" i="1" s="1"/>
  <c r="C983" i="1"/>
  <c r="B983" i="1" s="1"/>
  <c r="C991" i="1"/>
  <c r="B991" i="1" s="1"/>
  <c r="C999" i="1"/>
  <c r="B999" i="1" s="1"/>
  <c r="C1007" i="1"/>
  <c r="B1007" i="1" s="1"/>
  <c r="C1015" i="1"/>
  <c r="B1015" i="1" s="1"/>
  <c r="C1023" i="1"/>
  <c r="B1023" i="1" s="1"/>
  <c r="C1031" i="1"/>
  <c r="B1031" i="1" s="1"/>
  <c r="C1039" i="1"/>
  <c r="B1039" i="1" s="1"/>
  <c r="C1047" i="1"/>
  <c r="B1047" i="1" s="1"/>
  <c r="C1055" i="1"/>
  <c r="B1055" i="1" s="1"/>
  <c r="C1063" i="1"/>
  <c r="B1063" i="1" s="1"/>
  <c r="C1071" i="1"/>
  <c r="B1071" i="1" s="1"/>
  <c r="C1079" i="1"/>
  <c r="B1079" i="1" s="1"/>
  <c r="C1087" i="1"/>
  <c r="B1087" i="1" s="1"/>
  <c r="C1095" i="1"/>
  <c r="B1095" i="1" s="1"/>
  <c r="C1103" i="1"/>
  <c r="B1103" i="1" s="1"/>
  <c r="C1111" i="1"/>
  <c r="B1111" i="1" s="1"/>
  <c r="C1119" i="1"/>
  <c r="B1119" i="1" s="1"/>
  <c r="C1127" i="1"/>
  <c r="B1127" i="1" s="1"/>
  <c r="C1135" i="1"/>
  <c r="B1135" i="1" s="1"/>
  <c r="C1143" i="1"/>
  <c r="B1143" i="1" s="1"/>
  <c r="C1151" i="1"/>
  <c r="B1151" i="1" s="1"/>
  <c r="C1159" i="1"/>
  <c r="B1159" i="1" s="1"/>
  <c r="C1167" i="1"/>
  <c r="B1167" i="1" s="1"/>
  <c r="C1175" i="1"/>
  <c r="B1175" i="1" s="1"/>
  <c r="C1183" i="1"/>
  <c r="B1183" i="1" s="1"/>
  <c r="C1191" i="1"/>
  <c r="B1191" i="1" s="1"/>
  <c r="C1199" i="1"/>
  <c r="B1199" i="1" s="1"/>
  <c r="C1207" i="1"/>
  <c r="B1207" i="1" s="1"/>
  <c r="C1215" i="1"/>
  <c r="B1215" i="1" s="1"/>
  <c r="C1223" i="1"/>
  <c r="B1223" i="1" s="1"/>
  <c r="C1231" i="1"/>
  <c r="B1231" i="1" s="1"/>
  <c r="C1239" i="1"/>
  <c r="B1239" i="1" s="1"/>
  <c r="C1247" i="1"/>
  <c r="B1247" i="1" s="1"/>
  <c r="C1255" i="1"/>
  <c r="B1255" i="1" s="1"/>
  <c r="C1263" i="1"/>
  <c r="B1263" i="1" s="1"/>
  <c r="C1271" i="1"/>
  <c r="B1271" i="1" s="1"/>
  <c r="C1279" i="1"/>
  <c r="B1279" i="1" s="1"/>
  <c r="C1287" i="1"/>
  <c r="B1287" i="1" s="1"/>
  <c r="C1295" i="1"/>
  <c r="B1295" i="1" s="1"/>
  <c r="C1303" i="1"/>
  <c r="B1303" i="1" s="1"/>
  <c r="C1311" i="1"/>
  <c r="B1311" i="1" s="1"/>
  <c r="C1319" i="1"/>
  <c r="B1319" i="1" s="1"/>
  <c r="C1327" i="1"/>
  <c r="B1327" i="1" s="1"/>
  <c r="C1335" i="1"/>
  <c r="B1335" i="1" s="1"/>
  <c r="C1343" i="1"/>
  <c r="B1343" i="1" s="1"/>
  <c r="C1351" i="1"/>
  <c r="B1351" i="1" s="1"/>
  <c r="C1359" i="1"/>
  <c r="B1359" i="1" s="1"/>
  <c r="C1367" i="1"/>
  <c r="B1367" i="1" s="1"/>
  <c r="C1375" i="1"/>
  <c r="B1375" i="1" s="1"/>
  <c r="C1383" i="1"/>
  <c r="B1383" i="1" s="1"/>
  <c r="C1391" i="1"/>
  <c r="B1391" i="1" s="1"/>
  <c r="C1399" i="1"/>
  <c r="B1399" i="1" s="1"/>
  <c r="C1407" i="1"/>
  <c r="B1407" i="1" s="1"/>
  <c r="C1415" i="1"/>
  <c r="B1415" i="1" s="1"/>
  <c r="C1423" i="1"/>
  <c r="B1423" i="1" s="1"/>
  <c r="C1431" i="1"/>
  <c r="B1431" i="1" s="1"/>
  <c r="C1439" i="1"/>
  <c r="B1439" i="1" s="1"/>
  <c r="C626" i="1"/>
  <c r="B626" i="1" s="1"/>
  <c r="C661" i="1"/>
  <c r="B661" i="1" s="1"/>
  <c r="C677" i="1"/>
  <c r="B677" i="1" s="1"/>
  <c r="C693" i="1"/>
  <c r="B693" i="1" s="1"/>
  <c r="C709" i="1"/>
  <c r="B709" i="1" s="1"/>
  <c r="C725" i="1"/>
  <c r="B725" i="1" s="1"/>
  <c r="C741" i="1"/>
  <c r="B741" i="1" s="1"/>
  <c r="C757" i="1"/>
  <c r="B757" i="1" s="1"/>
  <c r="C773" i="1"/>
  <c r="B773" i="1" s="1"/>
  <c r="C789" i="1"/>
  <c r="B789" i="1" s="1"/>
  <c r="C805" i="1"/>
  <c r="B805" i="1" s="1"/>
  <c r="C821" i="1"/>
  <c r="B821" i="1" s="1"/>
  <c r="C837" i="1"/>
  <c r="B837" i="1" s="1"/>
  <c r="C853" i="1"/>
  <c r="B853" i="1" s="1"/>
  <c r="C869" i="1"/>
  <c r="B869" i="1" s="1"/>
  <c r="C880" i="1"/>
  <c r="B880" i="1" s="1"/>
  <c r="C888" i="1"/>
  <c r="B888" i="1" s="1"/>
  <c r="C896" i="1"/>
  <c r="B896" i="1" s="1"/>
  <c r="C904" i="1"/>
  <c r="B904" i="1" s="1"/>
  <c r="C912" i="1"/>
  <c r="B912" i="1" s="1"/>
  <c r="C920" i="1"/>
  <c r="B920" i="1" s="1"/>
  <c r="C928" i="1"/>
  <c r="B928" i="1" s="1"/>
  <c r="C936" i="1"/>
  <c r="B936" i="1" s="1"/>
  <c r="C944" i="1"/>
  <c r="B944" i="1" s="1"/>
  <c r="C952" i="1"/>
  <c r="B952" i="1" s="1"/>
  <c r="C960" i="1"/>
  <c r="B960" i="1" s="1"/>
  <c r="C968" i="1"/>
  <c r="B968" i="1" s="1"/>
  <c r="C976" i="1"/>
  <c r="B976" i="1" s="1"/>
  <c r="C984" i="1"/>
  <c r="B984" i="1" s="1"/>
  <c r="C992" i="1"/>
  <c r="B992" i="1" s="1"/>
  <c r="C1000" i="1"/>
  <c r="B1000" i="1" s="1"/>
  <c r="C1008" i="1"/>
  <c r="B1008" i="1" s="1"/>
  <c r="C1016" i="1"/>
  <c r="B1016" i="1" s="1"/>
  <c r="C1024" i="1"/>
  <c r="B1024" i="1" s="1"/>
  <c r="C1032" i="1"/>
  <c r="B1032" i="1" s="1"/>
  <c r="C1040" i="1"/>
  <c r="B1040" i="1" s="1"/>
  <c r="C1048" i="1"/>
  <c r="B1048" i="1" s="1"/>
  <c r="C1056" i="1"/>
  <c r="B1056" i="1" s="1"/>
  <c r="C1064" i="1"/>
  <c r="B1064" i="1" s="1"/>
  <c r="C1072" i="1"/>
  <c r="B1072" i="1" s="1"/>
  <c r="C1080" i="1"/>
  <c r="B1080" i="1" s="1"/>
  <c r="C1088" i="1"/>
  <c r="B1088" i="1" s="1"/>
  <c r="C1096" i="1"/>
  <c r="B1096" i="1" s="1"/>
  <c r="C1104" i="1"/>
  <c r="B1104" i="1" s="1"/>
  <c r="C1112" i="1"/>
  <c r="B1112" i="1" s="1"/>
  <c r="C1120" i="1"/>
  <c r="B1120" i="1" s="1"/>
  <c r="C1128" i="1"/>
  <c r="B1128" i="1" s="1"/>
  <c r="C1136" i="1"/>
  <c r="B1136" i="1" s="1"/>
  <c r="C1144" i="1"/>
  <c r="B1144" i="1" s="1"/>
  <c r="C1152" i="1"/>
  <c r="B1152" i="1" s="1"/>
  <c r="C1160" i="1"/>
  <c r="B1160" i="1" s="1"/>
  <c r="C1168" i="1"/>
  <c r="B1168" i="1" s="1"/>
  <c r="C1176" i="1"/>
  <c r="B1176" i="1" s="1"/>
  <c r="C1184" i="1"/>
  <c r="B1184" i="1" s="1"/>
  <c r="C1192" i="1"/>
  <c r="B1192" i="1" s="1"/>
  <c r="C1200" i="1"/>
  <c r="B1200" i="1" s="1"/>
  <c r="C1208" i="1"/>
  <c r="B1208" i="1" s="1"/>
  <c r="C1216" i="1"/>
  <c r="B1216" i="1" s="1"/>
  <c r="C1224" i="1"/>
  <c r="B1224" i="1" s="1"/>
  <c r="C1232" i="1"/>
  <c r="B1232" i="1" s="1"/>
  <c r="C1240" i="1"/>
  <c r="B1240" i="1" s="1"/>
  <c r="C1248" i="1"/>
  <c r="B1248" i="1" s="1"/>
  <c r="C1256" i="1"/>
  <c r="B1256" i="1" s="1"/>
  <c r="C1264" i="1"/>
  <c r="B1264" i="1" s="1"/>
  <c r="C1272" i="1"/>
  <c r="B1272" i="1" s="1"/>
  <c r="C1280" i="1"/>
  <c r="B1280" i="1" s="1"/>
  <c r="C1288" i="1"/>
  <c r="B1288" i="1" s="1"/>
  <c r="C1296" i="1"/>
  <c r="B1296" i="1" s="1"/>
  <c r="C1304" i="1"/>
  <c r="B1304" i="1" s="1"/>
  <c r="C1312" i="1"/>
  <c r="B1312" i="1" s="1"/>
  <c r="C1320" i="1"/>
  <c r="B1320" i="1" s="1"/>
  <c r="C1328" i="1"/>
  <c r="B1328" i="1" s="1"/>
  <c r="C1336" i="1"/>
  <c r="B1336" i="1" s="1"/>
  <c r="C1344" i="1"/>
  <c r="B1344" i="1" s="1"/>
  <c r="C1352" i="1"/>
  <c r="B1352" i="1" s="1"/>
  <c r="C1360" i="1"/>
  <c r="B1360" i="1" s="1"/>
  <c r="C1368" i="1"/>
  <c r="B1368" i="1" s="1"/>
  <c r="C1376" i="1"/>
  <c r="B1376" i="1" s="1"/>
  <c r="C1384" i="1"/>
  <c r="B1384" i="1" s="1"/>
  <c r="C1392" i="1"/>
  <c r="B1392" i="1" s="1"/>
  <c r="C1400" i="1"/>
  <c r="B1400" i="1" s="1"/>
  <c r="C1408" i="1"/>
  <c r="B1408" i="1" s="1"/>
  <c r="C1416" i="1"/>
  <c r="B1416" i="1" s="1"/>
  <c r="C1424" i="1"/>
  <c r="B1424" i="1" s="1"/>
  <c r="C1432" i="1"/>
  <c r="B1432" i="1" s="1"/>
  <c r="C634" i="1"/>
  <c r="B634" i="1" s="1"/>
  <c r="C663" i="1"/>
  <c r="B663" i="1" s="1"/>
  <c r="C679" i="1"/>
  <c r="B679" i="1" s="1"/>
  <c r="C695" i="1"/>
  <c r="B695" i="1" s="1"/>
  <c r="C711" i="1"/>
  <c r="B711" i="1" s="1"/>
  <c r="C727" i="1"/>
  <c r="B727" i="1" s="1"/>
  <c r="C743" i="1"/>
  <c r="B743" i="1" s="1"/>
  <c r="C759" i="1"/>
  <c r="B759" i="1" s="1"/>
  <c r="C775" i="1"/>
  <c r="B775" i="1" s="1"/>
  <c r="C791" i="1"/>
  <c r="B791" i="1" s="1"/>
  <c r="C807" i="1"/>
  <c r="B807" i="1" s="1"/>
  <c r="C823" i="1"/>
  <c r="B823" i="1" s="1"/>
  <c r="C839" i="1"/>
  <c r="B839" i="1" s="1"/>
  <c r="C855" i="1"/>
  <c r="B855" i="1" s="1"/>
  <c r="C870" i="1"/>
  <c r="B870" i="1" s="1"/>
  <c r="C881" i="1"/>
  <c r="B881" i="1" s="1"/>
  <c r="C889" i="1"/>
  <c r="B889" i="1" s="1"/>
  <c r="C897" i="1"/>
  <c r="B897" i="1" s="1"/>
  <c r="C905" i="1"/>
  <c r="B905" i="1" s="1"/>
  <c r="C913" i="1"/>
  <c r="B913" i="1" s="1"/>
  <c r="C921" i="1"/>
  <c r="B921" i="1" s="1"/>
  <c r="C929" i="1"/>
  <c r="B929" i="1" s="1"/>
  <c r="C937" i="1"/>
  <c r="B937" i="1" s="1"/>
  <c r="C945" i="1"/>
  <c r="B945" i="1" s="1"/>
  <c r="C953" i="1"/>
  <c r="B953" i="1" s="1"/>
  <c r="C961" i="1"/>
  <c r="B961" i="1" s="1"/>
  <c r="C969" i="1"/>
  <c r="B969" i="1" s="1"/>
  <c r="C977" i="1"/>
  <c r="B977" i="1" s="1"/>
  <c r="C985" i="1"/>
  <c r="B985" i="1" s="1"/>
  <c r="C993" i="1"/>
  <c r="B993" i="1" s="1"/>
  <c r="C1001" i="1"/>
  <c r="B1001" i="1" s="1"/>
  <c r="C1009" i="1"/>
  <c r="B1009" i="1" s="1"/>
  <c r="C1017" i="1"/>
  <c r="B1017" i="1" s="1"/>
  <c r="C1025" i="1"/>
  <c r="B1025" i="1" s="1"/>
  <c r="C1033" i="1"/>
  <c r="B1033" i="1" s="1"/>
  <c r="C1041" i="1"/>
  <c r="B1041" i="1" s="1"/>
  <c r="C1049" i="1"/>
  <c r="B1049" i="1" s="1"/>
  <c r="C1057" i="1"/>
  <c r="B1057" i="1" s="1"/>
  <c r="C1065" i="1"/>
  <c r="B1065" i="1" s="1"/>
  <c r="C1073" i="1"/>
  <c r="B1073" i="1" s="1"/>
  <c r="C1081" i="1"/>
  <c r="B1081" i="1" s="1"/>
  <c r="C1089" i="1"/>
  <c r="B1089" i="1" s="1"/>
  <c r="C1097" i="1"/>
  <c r="B1097" i="1" s="1"/>
  <c r="C1105" i="1"/>
  <c r="B1105" i="1" s="1"/>
  <c r="C1113" i="1"/>
  <c r="B1113" i="1" s="1"/>
  <c r="C1121" i="1"/>
  <c r="B1121" i="1" s="1"/>
  <c r="C1129" i="1"/>
  <c r="B1129" i="1" s="1"/>
  <c r="C1137" i="1"/>
  <c r="B1137" i="1" s="1"/>
  <c r="C1145" i="1"/>
  <c r="B1145" i="1" s="1"/>
  <c r="C1153" i="1"/>
  <c r="B1153" i="1" s="1"/>
  <c r="C1161" i="1"/>
  <c r="B1161" i="1" s="1"/>
  <c r="C1169" i="1"/>
  <c r="B1169" i="1" s="1"/>
  <c r="C1177" i="1"/>
  <c r="B1177" i="1" s="1"/>
  <c r="C1185" i="1"/>
  <c r="B1185" i="1" s="1"/>
  <c r="C1193" i="1"/>
  <c r="B1193" i="1" s="1"/>
  <c r="C1201" i="1"/>
  <c r="B1201" i="1" s="1"/>
  <c r="C1209" i="1"/>
  <c r="B1209" i="1" s="1"/>
  <c r="C1217" i="1"/>
  <c r="B1217" i="1" s="1"/>
  <c r="C1225" i="1"/>
  <c r="B1225" i="1" s="1"/>
  <c r="C1233" i="1"/>
  <c r="B1233" i="1" s="1"/>
  <c r="C1241" i="1"/>
  <c r="B1241" i="1" s="1"/>
  <c r="C1249" i="1"/>
  <c r="B1249" i="1" s="1"/>
  <c r="C1257" i="1"/>
  <c r="B1257" i="1" s="1"/>
  <c r="C1265" i="1"/>
  <c r="B1265" i="1" s="1"/>
  <c r="C1273" i="1"/>
  <c r="B1273" i="1" s="1"/>
  <c r="C1281" i="1"/>
  <c r="B1281" i="1" s="1"/>
  <c r="C1289" i="1"/>
  <c r="B1289" i="1" s="1"/>
  <c r="C1297" i="1"/>
  <c r="B1297" i="1" s="1"/>
  <c r="C1305" i="1"/>
  <c r="B1305" i="1" s="1"/>
  <c r="C1313" i="1"/>
  <c r="B1313" i="1" s="1"/>
  <c r="C1321" i="1"/>
  <c r="B1321" i="1" s="1"/>
  <c r="C1329" i="1"/>
  <c r="B1329" i="1" s="1"/>
  <c r="C1337" i="1"/>
  <c r="B1337" i="1" s="1"/>
  <c r="C1345" i="1"/>
  <c r="B1345" i="1" s="1"/>
  <c r="C1353" i="1"/>
  <c r="B1353" i="1" s="1"/>
  <c r="C1361" i="1"/>
  <c r="B1361" i="1" s="1"/>
  <c r="C1369" i="1"/>
  <c r="B1369" i="1" s="1"/>
  <c r="C1377" i="1"/>
  <c r="B1377" i="1" s="1"/>
  <c r="C1385" i="1"/>
  <c r="B1385" i="1" s="1"/>
  <c r="C1393" i="1"/>
  <c r="B1393" i="1" s="1"/>
  <c r="C1401" i="1"/>
  <c r="B1401" i="1" s="1"/>
  <c r="C1409" i="1"/>
  <c r="B1409" i="1" s="1"/>
  <c r="C1417" i="1"/>
  <c r="B1417" i="1" s="1"/>
  <c r="C1425" i="1"/>
  <c r="B1425" i="1" s="1"/>
  <c r="C1433" i="1"/>
  <c r="B1433" i="1" s="1"/>
  <c r="C1441" i="1"/>
  <c r="B1441" i="1" s="1"/>
  <c r="C642" i="1"/>
  <c r="B642" i="1" s="1"/>
  <c r="C664" i="1"/>
  <c r="B664" i="1" s="1"/>
  <c r="C680" i="1"/>
  <c r="B680" i="1" s="1"/>
  <c r="C696" i="1"/>
  <c r="B696" i="1" s="1"/>
  <c r="C712" i="1"/>
  <c r="B712" i="1" s="1"/>
  <c r="C728" i="1"/>
  <c r="B728" i="1" s="1"/>
  <c r="C744" i="1"/>
  <c r="B744" i="1" s="1"/>
  <c r="C760" i="1"/>
  <c r="B760" i="1" s="1"/>
  <c r="C776" i="1"/>
  <c r="B776" i="1" s="1"/>
  <c r="C792" i="1"/>
  <c r="B792" i="1" s="1"/>
  <c r="C808" i="1"/>
  <c r="B808" i="1" s="1"/>
  <c r="C824" i="1"/>
  <c r="B824" i="1" s="1"/>
  <c r="C840" i="1"/>
  <c r="B840" i="1" s="1"/>
  <c r="C856" i="1"/>
  <c r="B856" i="1" s="1"/>
  <c r="C871" i="1"/>
  <c r="B871" i="1" s="1"/>
  <c r="C882" i="1"/>
  <c r="B882" i="1" s="1"/>
  <c r="C890" i="1"/>
  <c r="B890" i="1" s="1"/>
  <c r="C898" i="1"/>
  <c r="B898" i="1" s="1"/>
  <c r="C906" i="1"/>
  <c r="B906" i="1" s="1"/>
  <c r="C914" i="1"/>
  <c r="B914" i="1" s="1"/>
  <c r="C922" i="1"/>
  <c r="B922" i="1" s="1"/>
  <c r="C930" i="1"/>
  <c r="B930" i="1" s="1"/>
  <c r="C938" i="1"/>
  <c r="B938" i="1" s="1"/>
  <c r="C946" i="1"/>
  <c r="B946" i="1" s="1"/>
  <c r="C954" i="1"/>
  <c r="B954" i="1" s="1"/>
  <c r="C962" i="1"/>
  <c r="B962" i="1" s="1"/>
  <c r="C970" i="1"/>
  <c r="B970" i="1" s="1"/>
  <c r="C978" i="1"/>
  <c r="B978" i="1" s="1"/>
  <c r="C986" i="1"/>
  <c r="B986" i="1" s="1"/>
  <c r="C994" i="1"/>
  <c r="B994" i="1" s="1"/>
  <c r="C1002" i="1"/>
  <c r="B1002" i="1" s="1"/>
  <c r="C1010" i="1"/>
  <c r="B1010" i="1" s="1"/>
  <c r="C1018" i="1"/>
  <c r="B1018" i="1" s="1"/>
  <c r="C1026" i="1"/>
  <c r="B1026" i="1" s="1"/>
  <c r="C1034" i="1"/>
  <c r="B1034" i="1" s="1"/>
  <c r="C1042" i="1"/>
  <c r="B1042" i="1" s="1"/>
  <c r="C1050" i="1"/>
  <c r="B1050" i="1" s="1"/>
  <c r="C1058" i="1"/>
  <c r="B1058" i="1" s="1"/>
  <c r="C1066" i="1"/>
  <c r="B1066" i="1" s="1"/>
  <c r="C1074" i="1"/>
  <c r="B1074" i="1" s="1"/>
  <c r="C1082" i="1"/>
  <c r="B1082" i="1" s="1"/>
  <c r="C1090" i="1"/>
  <c r="B1090" i="1" s="1"/>
  <c r="C1098" i="1"/>
  <c r="B1098" i="1" s="1"/>
  <c r="C1106" i="1"/>
  <c r="B1106" i="1" s="1"/>
  <c r="C1114" i="1"/>
  <c r="B1114" i="1" s="1"/>
  <c r="C1122" i="1"/>
  <c r="B1122" i="1" s="1"/>
  <c r="C1130" i="1"/>
  <c r="B1130" i="1" s="1"/>
  <c r="C1138" i="1"/>
  <c r="B1138" i="1" s="1"/>
  <c r="C1146" i="1"/>
  <c r="B1146" i="1" s="1"/>
  <c r="C1154" i="1"/>
  <c r="B1154" i="1" s="1"/>
  <c r="C1162" i="1"/>
  <c r="B1162" i="1" s="1"/>
  <c r="C1170" i="1"/>
  <c r="B1170" i="1" s="1"/>
  <c r="C1178" i="1"/>
  <c r="B1178" i="1" s="1"/>
  <c r="C1186" i="1"/>
  <c r="B1186" i="1" s="1"/>
  <c r="C1194" i="1"/>
  <c r="B1194" i="1" s="1"/>
  <c r="C1202" i="1"/>
  <c r="B1202" i="1" s="1"/>
  <c r="C650" i="1"/>
  <c r="B650" i="1" s="1"/>
  <c r="C666" i="1"/>
  <c r="B666" i="1" s="1"/>
  <c r="C682" i="1"/>
  <c r="B682" i="1" s="1"/>
  <c r="C698" i="1"/>
  <c r="B698" i="1" s="1"/>
  <c r="C714" i="1"/>
  <c r="B714" i="1" s="1"/>
  <c r="C730" i="1"/>
  <c r="B730" i="1" s="1"/>
  <c r="C746" i="1"/>
  <c r="B746" i="1" s="1"/>
  <c r="C762" i="1"/>
  <c r="B762" i="1" s="1"/>
  <c r="C778" i="1"/>
  <c r="B778" i="1" s="1"/>
  <c r="C794" i="1"/>
  <c r="B794" i="1" s="1"/>
  <c r="C810" i="1"/>
  <c r="B810" i="1" s="1"/>
  <c r="C826" i="1"/>
  <c r="B826" i="1" s="1"/>
  <c r="C842" i="1"/>
  <c r="B842" i="1" s="1"/>
  <c r="C858" i="1"/>
  <c r="B858" i="1" s="1"/>
  <c r="C872" i="1"/>
  <c r="B872" i="1" s="1"/>
  <c r="C883" i="1"/>
  <c r="B883" i="1" s="1"/>
  <c r="C891" i="1"/>
  <c r="B891" i="1" s="1"/>
  <c r="C899" i="1"/>
  <c r="B899" i="1" s="1"/>
  <c r="C907" i="1"/>
  <c r="B907" i="1" s="1"/>
  <c r="C915" i="1"/>
  <c r="B915" i="1" s="1"/>
  <c r="C923" i="1"/>
  <c r="B923" i="1" s="1"/>
  <c r="C931" i="1"/>
  <c r="B931" i="1" s="1"/>
  <c r="C939" i="1"/>
  <c r="B939" i="1" s="1"/>
  <c r="C947" i="1"/>
  <c r="B947" i="1" s="1"/>
  <c r="C955" i="1"/>
  <c r="B955" i="1" s="1"/>
  <c r="C963" i="1"/>
  <c r="B963" i="1" s="1"/>
  <c r="C971" i="1"/>
  <c r="B971" i="1" s="1"/>
  <c r="C979" i="1"/>
  <c r="B979" i="1" s="1"/>
  <c r="C987" i="1"/>
  <c r="B987" i="1" s="1"/>
  <c r="C995" i="1"/>
  <c r="B995" i="1" s="1"/>
  <c r="C1003" i="1"/>
  <c r="B1003" i="1" s="1"/>
  <c r="C1011" i="1"/>
  <c r="B1011" i="1" s="1"/>
  <c r="C1019" i="1"/>
  <c r="B1019" i="1" s="1"/>
  <c r="C1027" i="1"/>
  <c r="B1027" i="1" s="1"/>
  <c r="C1035" i="1"/>
  <c r="B1035" i="1" s="1"/>
  <c r="C1043" i="1"/>
  <c r="B1043" i="1" s="1"/>
  <c r="C1051" i="1"/>
  <c r="B1051" i="1" s="1"/>
  <c r="C1059" i="1"/>
  <c r="B1059" i="1" s="1"/>
  <c r="C1067" i="1"/>
  <c r="B1067" i="1" s="1"/>
  <c r="C1075" i="1"/>
  <c r="B1075" i="1" s="1"/>
  <c r="C1083" i="1"/>
  <c r="B1083" i="1" s="1"/>
  <c r="C1091" i="1"/>
  <c r="B1091" i="1" s="1"/>
  <c r="C1099" i="1"/>
  <c r="B1099" i="1" s="1"/>
  <c r="C1107" i="1"/>
  <c r="B1107" i="1" s="1"/>
  <c r="C1115" i="1"/>
  <c r="B1115" i="1" s="1"/>
  <c r="C1123" i="1"/>
  <c r="B1123" i="1" s="1"/>
  <c r="C1131" i="1"/>
  <c r="B1131" i="1" s="1"/>
  <c r="C1139" i="1"/>
  <c r="B1139" i="1" s="1"/>
  <c r="C1147" i="1"/>
  <c r="B1147" i="1" s="1"/>
  <c r="C1155" i="1"/>
  <c r="B1155" i="1" s="1"/>
  <c r="C1163" i="1"/>
  <c r="B1163" i="1" s="1"/>
  <c r="C653" i="1"/>
  <c r="B653" i="1" s="1"/>
  <c r="C669" i="1"/>
  <c r="B669" i="1" s="1"/>
  <c r="C685" i="1"/>
  <c r="B685" i="1" s="1"/>
  <c r="C701" i="1"/>
  <c r="B701" i="1" s="1"/>
  <c r="C717" i="1"/>
  <c r="B717" i="1" s="1"/>
  <c r="C733" i="1"/>
  <c r="B733" i="1" s="1"/>
  <c r="C749" i="1"/>
  <c r="B749" i="1" s="1"/>
  <c r="C765" i="1"/>
  <c r="B765" i="1" s="1"/>
  <c r="C781" i="1"/>
  <c r="B781" i="1" s="1"/>
  <c r="C797" i="1"/>
  <c r="B797" i="1" s="1"/>
  <c r="C813" i="1"/>
  <c r="B813" i="1" s="1"/>
  <c r="C829" i="1"/>
  <c r="B829" i="1" s="1"/>
  <c r="C845" i="1"/>
  <c r="B845" i="1" s="1"/>
  <c r="C861" i="1"/>
  <c r="B861" i="1" s="1"/>
  <c r="C874" i="1"/>
  <c r="B874" i="1" s="1"/>
  <c r="C884" i="1"/>
  <c r="B884" i="1" s="1"/>
  <c r="C892" i="1"/>
  <c r="B892" i="1" s="1"/>
  <c r="C900" i="1"/>
  <c r="B900" i="1" s="1"/>
  <c r="C908" i="1"/>
  <c r="B908" i="1" s="1"/>
  <c r="C916" i="1"/>
  <c r="B916" i="1" s="1"/>
  <c r="C924" i="1"/>
  <c r="B924" i="1" s="1"/>
  <c r="C932" i="1"/>
  <c r="B932" i="1" s="1"/>
  <c r="C940" i="1"/>
  <c r="B940" i="1" s="1"/>
  <c r="C948" i="1"/>
  <c r="B948" i="1" s="1"/>
  <c r="C956" i="1"/>
  <c r="B956" i="1" s="1"/>
  <c r="C964" i="1"/>
  <c r="B964" i="1" s="1"/>
  <c r="C972" i="1"/>
  <c r="B972" i="1" s="1"/>
  <c r="C980" i="1"/>
  <c r="B980" i="1" s="1"/>
  <c r="C988" i="1"/>
  <c r="B988" i="1" s="1"/>
  <c r="C996" i="1"/>
  <c r="B996" i="1" s="1"/>
  <c r="C1004" i="1"/>
  <c r="B1004" i="1" s="1"/>
  <c r="C1012" i="1"/>
  <c r="B1012" i="1" s="1"/>
  <c r="C1020" i="1"/>
  <c r="B1020" i="1" s="1"/>
  <c r="C1028" i="1"/>
  <c r="B1028" i="1" s="1"/>
  <c r="C1036" i="1"/>
  <c r="B1036" i="1" s="1"/>
  <c r="C1044" i="1"/>
  <c r="B1044" i="1" s="1"/>
  <c r="C1052" i="1"/>
  <c r="B1052" i="1" s="1"/>
  <c r="C1060" i="1"/>
  <c r="B1060" i="1" s="1"/>
  <c r="C1068" i="1"/>
  <c r="B1068" i="1" s="1"/>
  <c r="C1076" i="1"/>
  <c r="B1076" i="1" s="1"/>
  <c r="C1084" i="1"/>
  <c r="B1084" i="1" s="1"/>
  <c r="C1092" i="1"/>
  <c r="B1092" i="1" s="1"/>
  <c r="C1100" i="1"/>
  <c r="B1100" i="1" s="1"/>
  <c r="C1108" i="1"/>
  <c r="B1108" i="1" s="1"/>
  <c r="C1116" i="1"/>
  <c r="B1116" i="1" s="1"/>
  <c r="C1124" i="1"/>
  <c r="B1124" i="1" s="1"/>
  <c r="C1132" i="1"/>
  <c r="B1132" i="1" s="1"/>
  <c r="C1140" i="1"/>
  <c r="B1140" i="1" s="1"/>
  <c r="C1148" i="1"/>
  <c r="B1148" i="1" s="1"/>
  <c r="C1156" i="1"/>
  <c r="B1156" i="1" s="1"/>
  <c r="C1164" i="1"/>
  <c r="B1164" i="1" s="1"/>
  <c r="C1172" i="1"/>
  <c r="B1172" i="1" s="1"/>
  <c r="C1180" i="1"/>
  <c r="B1180" i="1" s="1"/>
  <c r="C1188" i="1"/>
  <c r="B1188" i="1" s="1"/>
  <c r="C1196" i="1"/>
  <c r="B1196" i="1" s="1"/>
  <c r="C1204" i="1"/>
  <c r="B1204" i="1" s="1"/>
  <c r="C1212" i="1"/>
  <c r="B1212" i="1" s="1"/>
  <c r="C655" i="1"/>
  <c r="B655" i="1" s="1"/>
  <c r="C671" i="1"/>
  <c r="B671" i="1" s="1"/>
  <c r="C687" i="1"/>
  <c r="B687" i="1" s="1"/>
  <c r="C703" i="1"/>
  <c r="B703" i="1" s="1"/>
  <c r="C719" i="1"/>
  <c r="B719" i="1" s="1"/>
  <c r="C735" i="1"/>
  <c r="B735" i="1" s="1"/>
  <c r="C751" i="1"/>
  <c r="B751" i="1" s="1"/>
  <c r="C767" i="1"/>
  <c r="B767" i="1" s="1"/>
  <c r="C783" i="1"/>
  <c r="B783" i="1" s="1"/>
  <c r="C799" i="1"/>
  <c r="B799" i="1" s="1"/>
  <c r="C815" i="1"/>
  <c r="B815" i="1" s="1"/>
  <c r="C831" i="1"/>
  <c r="B831" i="1" s="1"/>
  <c r="C847" i="1"/>
  <c r="B847" i="1" s="1"/>
  <c r="C863" i="1"/>
  <c r="B863" i="1" s="1"/>
  <c r="C877" i="1"/>
  <c r="B877" i="1" s="1"/>
  <c r="C885" i="1"/>
  <c r="B885" i="1" s="1"/>
  <c r="C893" i="1"/>
  <c r="B893" i="1" s="1"/>
  <c r="C901" i="1"/>
  <c r="B901" i="1" s="1"/>
  <c r="C909" i="1"/>
  <c r="B909" i="1" s="1"/>
  <c r="C917" i="1"/>
  <c r="B917" i="1" s="1"/>
  <c r="C925" i="1"/>
  <c r="B925" i="1" s="1"/>
  <c r="C933" i="1"/>
  <c r="B933" i="1" s="1"/>
  <c r="C941" i="1"/>
  <c r="B941" i="1" s="1"/>
  <c r="C949" i="1"/>
  <c r="B949" i="1" s="1"/>
  <c r="C957" i="1"/>
  <c r="B957" i="1" s="1"/>
  <c r="C965" i="1"/>
  <c r="B965" i="1" s="1"/>
  <c r="C973" i="1"/>
  <c r="B973" i="1" s="1"/>
  <c r="C981" i="1"/>
  <c r="B981" i="1" s="1"/>
  <c r="C989" i="1"/>
  <c r="B989" i="1" s="1"/>
  <c r="C997" i="1"/>
  <c r="B997" i="1" s="1"/>
  <c r="C1005" i="1"/>
  <c r="B1005" i="1" s="1"/>
  <c r="C1013" i="1"/>
  <c r="B1013" i="1" s="1"/>
  <c r="C1021" i="1"/>
  <c r="B1021" i="1" s="1"/>
  <c r="C1029" i="1"/>
  <c r="B1029" i="1" s="1"/>
  <c r="C1037" i="1"/>
  <c r="B1037" i="1" s="1"/>
  <c r="C1045" i="1"/>
  <c r="B1045" i="1" s="1"/>
  <c r="C1053" i="1"/>
  <c r="B1053" i="1" s="1"/>
  <c r="C1061" i="1"/>
  <c r="B1061" i="1" s="1"/>
  <c r="C1069" i="1"/>
  <c r="B1069" i="1" s="1"/>
  <c r="C1077" i="1"/>
  <c r="B1077" i="1" s="1"/>
  <c r="C1085" i="1"/>
  <c r="B1085" i="1" s="1"/>
  <c r="C1093" i="1"/>
  <c r="B1093" i="1" s="1"/>
  <c r="C1101" i="1"/>
  <c r="B1101" i="1" s="1"/>
  <c r="C1109" i="1"/>
  <c r="B1109" i="1" s="1"/>
  <c r="C1117" i="1"/>
  <c r="B1117" i="1" s="1"/>
  <c r="C1125" i="1"/>
  <c r="B1125" i="1" s="1"/>
  <c r="C1133" i="1"/>
  <c r="B1133" i="1" s="1"/>
  <c r="C1141" i="1"/>
  <c r="B1141" i="1" s="1"/>
  <c r="C1149" i="1"/>
  <c r="B1149" i="1" s="1"/>
  <c r="C656" i="1"/>
  <c r="B656" i="1" s="1"/>
  <c r="C672" i="1"/>
  <c r="B672" i="1" s="1"/>
  <c r="C688" i="1"/>
  <c r="B688" i="1" s="1"/>
  <c r="C704" i="1"/>
  <c r="B704" i="1" s="1"/>
  <c r="C720" i="1"/>
  <c r="B720" i="1" s="1"/>
  <c r="C736" i="1"/>
  <c r="B736" i="1" s="1"/>
  <c r="C752" i="1"/>
  <c r="B752" i="1" s="1"/>
  <c r="C768" i="1"/>
  <c r="B768" i="1" s="1"/>
  <c r="C784" i="1"/>
  <c r="B784" i="1" s="1"/>
  <c r="C800" i="1"/>
  <c r="B800" i="1" s="1"/>
  <c r="C816" i="1"/>
  <c r="B816" i="1" s="1"/>
  <c r="C832" i="1"/>
  <c r="B832" i="1" s="1"/>
  <c r="C848" i="1"/>
  <c r="B848" i="1" s="1"/>
  <c r="C864" i="1"/>
  <c r="B864" i="1" s="1"/>
  <c r="C878" i="1"/>
  <c r="B878" i="1" s="1"/>
  <c r="C886" i="1"/>
  <c r="B886" i="1" s="1"/>
  <c r="C894" i="1"/>
  <c r="B894" i="1" s="1"/>
  <c r="C902" i="1"/>
  <c r="B902" i="1" s="1"/>
  <c r="C910" i="1"/>
  <c r="B910" i="1" s="1"/>
  <c r="C918" i="1"/>
  <c r="B918" i="1" s="1"/>
  <c r="C926" i="1"/>
  <c r="B926" i="1" s="1"/>
  <c r="C934" i="1"/>
  <c r="B934" i="1" s="1"/>
  <c r="C942" i="1"/>
  <c r="B942" i="1" s="1"/>
  <c r="C950" i="1"/>
  <c r="B950" i="1" s="1"/>
  <c r="C958" i="1"/>
  <c r="B958" i="1" s="1"/>
  <c r="C966" i="1"/>
  <c r="B966" i="1" s="1"/>
  <c r="C974" i="1"/>
  <c r="B974" i="1" s="1"/>
  <c r="C982" i="1"/>
  <c r="B982" i="1" s="1"/>
  <c r="C990" i="1"/>
  <c r="B990" i="1" s="1"/>
  <c r="C998" i="1"/>
  <c r="B998" i="1" s="1"/>
  <c r="C1006" i="1"/>
  <c r="B1006" i="1" s="1"/>
  <c r="C1014" i="1"/>
  <c r="B1014" i="1" s="1"/>
  <c r="C1022" i="1"/>
  <c r="B1022" i="1" s="1"/>
  <c r="C1030" i="1"/>
  <c r="B1030" i="1" s="1"/>
  <c r="C1038" i="1"/>
  <c r="B1038" i="1" s="1"/>
  <c r="C1046" i="1"/>
  <c r="B1046" i="1" s="1"/>
  <c r="C1054" i="1"/>
  <c r="B1054" i="1" s="1"/>
  <c r="C1062" i="1"/>
  <c r="B1062" i="1" s="1"/>
  <c r="C1070" i="1"/>
  <c r="B1070" i="1" s="1"/>
  <c r="C1078" i="1"/>
  <c r="B1078" i="1" s="1"/>
  <c r="C1086" i="1"/>
  <c r="B1086" i="1" s="1"/>
  <c r="C1094" i="1"/>
  <c r="B1094" i="1" s="1"/>
  <c r="C1102" i="1"/>
  <c r="B1102" i="1" s="1"/>
  <c r="C1110" i="1"/>
  <c r="B1110" i="1" s="1"/>
  <c r="C1118" i="1"/>
  <c r="B1118" i="1" s="1"/>
  <c r="C1126" i="1"/>
  <c r="B1126" i="1" s="1"/>
  <c r="C1134" i="1"/>
  <c r="B1134" i="1" s="1"/>
  <c r="C1142" i="1"/>
  <c r="B1142" i="1" s="1"/>
  <c r="C1150" i="1"/>
  <c r="B1150" i="1" s="1"/>
  <c r="C1158" i="1"/>
  <c r="B1158" i="1" s="1"/>
  <c r="C1166" i="1"/>
  <c r="B1166" i="1" s="1"/>
  <c r="C1174" i="1"/>
  <c r="B1174" i="1" s="1"/>
  <c r="C1182" i="1"/>
  <c r="B1182" i="1" s="1"/>
  <c r="C1190" i="1"/>
  <c r="B1190" i="1" s="1"/>
  <c r="C1198" i="1"/>
  <c r="B1198" i="1" s="1"/>
  <c r="C1206" i="1"/>
  <c r="B1206" i="1" s="1"/>
  <c r="C1214" i="1"/>
  <c r="B1214" i="1" s="1"/>
  <c r="C1222" i="1"/>
  <c r="B1222" i="1" s="1"/>
  <c r="C1230" i="1"/>
  <c r="B1230" i="1" s="1"/>
  <c r="C1238" i="1"/>
  <c r="B1238" i="1" s="1"/>
  <c r="C1246" i="1"/>
  <c r="B1246" i="1" s="1"/>
  <c r="C1254" i="1"/>
  <c r="B1254" i="1" s="1"/>
  <c r="C1262" i="1"/>
  <c r="B1262" i="1" s="1"/>
  <c r="C1270" i="1"/>
  <c r="B1270" i="1" s="1"/>
  <c r="C1278" i="1"/>
  <c r="B1278" i="1" s="1"/>
  <c r="C1286" i="1"/>
  <c r="B1286" i="1" s="1"/>
  <c r="C1294" i="1"/>
  <c r="B1294" i="1" s="1"/>
  <c r="C1302" i="1"/>
  <c r="B1302" i="1" s="1"/>
  <c r="C1310" i="1"/>
  <c r="B1310" i="1" s="1"/>
  <c r="C1318" i="1"/>
  <c r="B1318" i="1" s="1"/>
  <c r="C1326" i="1"/>
  <c r="B1326" i="1" s="1"/>
  <c r="C1334" i="1"/>
  <c r="B1334" i="1" s="1"/>
  <c r="C1342" i="1"/>
  <c r="B1342" i="1" s="1"/>
  <c r="C1350" i="1"/>
  <c r="B1350" i="1" s="1"/>
  <c r="C1358" i="1"/>
  <c r="B1358" i="1" s="1"/>
  <c r="C1366" i="1"/>
  <c r="B1366" i="1" s="1"/>
  <c r="C1374" i="1"/>
  <c r="B1374" i="1" s="1"/>
  <c r="C1382" i="1"/>
  <c r="B1382" i="1" s="1"/>
  <c r="C1390" i="1"/>
  <c r="B1390" i="1" s="1"/>
  <c r="C1398" i="1"/>
  <c r="B1398" i="1" s="1"/>
  <c r="C1406" i="1"/>
  <c r="B1406" i="1" s="1"/>
  <c r="C1414" i="1"/>
  <c r="B1414" i="1" s="1"/>
  <c r="C1422" i="1"/>
  <c r="B1422" i="1" s="1"/>
  <c r="C1430" i="1"/>
  <c r="B1430" i="1" s="1"/>
  <c r="C1438" i="1"/>
  <c r="B1438" i="1" s="1"/>
  <c r="C1157" i="1"/>
  <c r="B1157" i="1" s="1"/>
  <c r="C1195" i="1"/>
  <c r="B1195" i="1" s="1"/>
  <c r="C1219" i="1"/>
  <c r="B1219" i="1" s="1"/>
  <c r="C1235" i="1"/>
  <c r="B1235" i="1" s="1"/>
  <c r="C1251" i="1"/>
  <c r="B1251" i="1" s="1"/>
  <c r="C1267" i="1"/>
  <c r="B1267" i="1" s="1"/>
  <c r="C1283" i="1"/>
  <c r="B1283" i="1" s="1"/>
  <c r="C1299" i="1"/>
  <c r="B1299" i="1" s="1"/>
  <c r="C1315" i="1"/>
  <c r="B1315" i="1" s="1"/>
  <c r="C1331" i="1"/>
  <c r="B1331" i="1" s="1"/>
  <c r="C1347" i="1"/>
  <c r="B1347" i="1" s="1"/>
  <c r="C1363" i="1"/>
  <c r="B1363" i="1" s="1"/>
  <c r="C1379" i="1"/>
  <c r="B1379" i="1" s="1"/>
  <c r="C1395" i="1"/>
  <c r="B1395" i="1" s="1"/>
  <c r="C1411" i="1"/>
  <c r="B1411" i="1" s="1"/>
  <c r="C1427" i="1"/>
  <c r="B1427" i="1" s="1"/>
  <c r="C1442" i="1"/>
  <c r="B1442" i="1" s="1"/>
  <c r="C1450" i="1"/>
  <c r="B1450" i="1" s="1"/>
  <c r="C1458" i="1"/>
  <c r="B1458" i="1" s="1"/>
  <c r="C1466" i="1"/>
  <c r="B1466" i="1" s="1"/>
  <c r="C1474" i="1"/>
  <c r="B1474" i="1" s="1"/>
  <c r="C1482" i="1"/>
  <c r="B1482" i="1" s="1"/>
  <c r="C1490" i="1"/>
  <c r="B1490" i="1" s="1"/>
  <c r="C1498" i="1"/>
  <c r="B1498" i="1" s="1"/>
  <c r="C1506" i="1"/>
  <c r="B1506" i="1" s="1"/>
  <c r="C1514" i="1"/>
  <c r="B1514" i="1" s="1"/>
  <c r="C1522" i="1"/>
  <c r="B1522" i="1" s="1"/>
  <c r="C1530" i="1"/>
  <c r="B1530" i="1" s="1"/>
  <c r="C1538" i="1"/>
  <c r="B1538" i="1" s="1"/>
  <c r="C1546" i="1"/>
  <c r="B1546" i="1" s="1"/>
  <c r="C1554" i="1"/>
  <c r="B1554" i="1" s="1"/>
  <c r="C1562" i="1"/>
  <c r="B1562" i="1" s="1"/>
  <c r="C1570" i="1"/>
  <c r="B1570" i="1" s="1"/>
  <c r="C1578" i="1"/>
  <c r="B1578" i="1" s="1"/>
  <c r="C1586" i="1"/>
  <c r="B1586" i="1" s="1"/>
  <c r="C1594" i="1"/>
  <c r="B1594" i="1" s="1"/>
  <c r="C1602" i="1"/>
  <c r="B1602" i="1" s="1"/>
  <c r="C1610" i="1"/>
  <c r="B1610" i="1" s="1"/>
  <c r="C1618" i="1"/>
  <c r="B1618" i="1" s="1"/>
  <c r="C1626" i="1"/>
  <c r="B1626" i="1" s="1"/>
  <c r="C1634" i="1"/>
  <c r="B1634" i="1" s="1"/>
  <c r="C1642" i="1"/>
  <c r="B1642" i="1" s="1"/>
  <c r="C1650" i="1"/>
  <c r="B1650" i="1" s="1"/>
  <c r="C1658" i="1"/>
  <c r="B1658" i="1" s="1"/>
  <c r="C1666" i="1"/>
  <c r="B1666" i="1" s="1"/>
  <c r="C1674" i="1"/>
  <c r="B1674" i="1" s="1"/>
  <c r="C1682" i="1"/>
  <c r="B1682" i="1" s="1"/>
  <c r="C1690" i="1"/>
  <c r="B1690" i="1" s="1"/>
  <c r="C1698" i="1"/>
  <c r="B1698" i="1" s="1"/>
  <c r="C1706" i="1"/>
  <c r="B1706" i="1" s="1"/>
  <c r="C1714" i="1"/>
  <c r="B1714" i="1" s="1"/>
  <c r="C1722" i="1"/>
  <c r="B1722" i="1" s="1"/>
  <c r="C1730" i="1"/>
  <c r="B1730" i="1" s="1"/>
  <c r="C1738" i="1"/>
  <c r="B1738" i="1" s="1"/>
  <c r="C1746" i="1"/>
  <c r="B1746" i="1" s="1"/>
  <c r="C1754" i="1"/>
  <c r="B1754" i="1" s="1"/>
  <c r="C1762" i="1"/>
  <c r="B1762" i="1" s="1"/>
  <c r="C1770" i="1"/>
  <c r="B1770" i="1" s="1"/>
  <c r="C1778" i="1"/>
  <c r="B1778" i="1" s="1"/>
  <c r="C1786" i="1"/>
  <c r="B1786" i="1" s="1"/>
  <c r="C1794" i="1"/>
  <c r="B1794" i="1" s="1"/>
  <c r="C1802" i="1"/>
  <c r="B1802" i="1" s="1"/>
  <c r="C1810" i="1"/>
  <c r="B1810" i="1" s="1"/>
  <c r="C1818" i="1"/>
  <c r="B1818" i="1" s="1"/>
  <c r="C1826" i="1"/>
  <c r="B1826" i="1" s="1"/>
  <c r="C1834" i="1"/>
  <c r="B1834" i="1" s="1"/>
  <c r="C1842" i="1"/>
  <c r="B1842" i="1" s="1"/>
  <c r="C1850" i="1"/>
  <c r="B1850" i="1" s="1"/>
  <c r="C1858" i="1"/>
  <c r="B1858" i="1" s="1"/>
  <c r="C1866" i="1"/>
  <c r="B1866" i="1" s="1"/>
  <c r="C1874" i="1"/>
  <c r="B1874" i="1" s="1"/>
  <c r="C1882" i="1"/>
  <c r="B1882" i="1" s="1"/>
  <c r="C1890" i="1"/>
  <c r="B1890" i="1" s="1"/>
  <c r="C1898" i="1"/>
  <c r="B1898" i="1" s="1"/>
  <c r="C1165" i="1"/>
  <c r="B1165" i="1" s="1"/>
  <c r="C1197" i="1"/>
  <c r="B1197" i="1" s="1"/>
  <c r="C1220" i="1"/>
  <c r="B1220" i="1" s="1"/>
  <c r="C1236" i="1"/>
  <c r="B1236" i="1" s="1"/>
  <c r="C1252" i="1"/>
  <c r="B1252" i="1" s="1"/>
  <c r="C1268" i="1"/>
  <c r="B1268" i="1" s="1"/>
  <c r="C1284" i="1"/>
  <c r="B1284" i="1" s="1"/>
  <c r="C1300" i="1"/>
  <c r="B1300" i="1" s="1"/>
  <c r="C1316" i="1"/>
  <c r="B1316" i="1" s="1"/>
  <c r="C1332" i="1"/>
  <c r="B1332" i="1" s="1"/>
  <c r="C1348" i="1"/>
  <c r="B1348" i="1" s="1"/>
  <c r="C1364" i="1"/>
  <c r="B1364" i="1" s="1"/>
  <c r="C1380" i="1"/>
  <c r="B1380" i="1" s="1"/>
  <c r="C1396" i="1"/>
  <c r="B1396" i="1" s="1"/>
  <c r="C1412" i="1"/>
  <c r="B1412" i="1" s="1"/>
  <c r="C1428" i="1"/>
  <c r="B1428" i="1" s="1"/>
  <c r="C1443" i="1"/>
  <c r="B1443" i="1" s="1"/>
  <c r="C1451" i="1"/>
  <c r="B1451" i="1" s="1"/>
  <c r="C1459" i="1"/>
  <c r="B1459" i="1" s="1"/>
  <c r="C1467" i="1"/>
  <c r="B1467" i="1" s="1"/>
  <c r="C1475" i="1"/>
  <c r="B1475" i="1" s="1"/>
  <c r="C1483" i="1"/>
  <c r="B1483" i="1" s="1"/>
  <c r="C1491" i="1"/>
  <c r="B1491" i="1" s="1"/>
  <c r="C1499" i="1"/>
  <c r="B1499" i="1" s="1"/>
  <c r="C1507" i="1"/>
  <c r="B1507" i="1" s="1"/>
  <c r="C1515" i="1"/>
  <c r="B1515" i="1" s="1"/>
  <c r="C1523" i="1"/>
  <c r="B1523" i="1" s="1"/>
  <c r="C1531" i="1"/>
  <c r="B1531" i="1" s="1"/>
  <c r="C1539" i="1"/>
  <c r="B1539" i="1" s="1"/>
  <c r="C1547" i="1"/>
  <c r="B1547" i="1" s="1"/>
  <c r="C1555" i="1"/>
  <c r="B1555" i="1" s="1"/>
  <c r="C1563" i="1"/>
  <c r="B1563" i="1" s="1"/>
  <c r="C1571" i="1"/>
  <c r="B1571" i="1" s="1"/>
  <c r="C1579" i="1"/>
  <c r="B1579" i="1" s="1"/>
  <c r="C1587" i="1"/>
  <c r="B1587" i="1" s="1"/>
  <c r="C1595" i="1"/>
  <c r="B1595" i="1" s="1"/>
  <c r="C1603" i="1"/>
  <c r="B1603" i="1" s="1"/>
  <c r="C1611" i="1"/>
  <c r="B1611" i="1" s="1"/>
  <c r="C1619" i="1"/>
  <c r="B1619" i="1" s="1"/>
  <c r="C1627" i="1"/>
  <c r="B1627" i="1" s="1"/>
  <c r="C1635" i="1"/>
  <c r="B1635" i="1" s="1"/>
  <c r="C1643" i="1"/>
  <c r="B1643" i="1" s="1"/>
  <c r="C1651" i="1"/>
  <c r="B1651" i="1" s="1"/>
  <c r="C1659" i="1"/>
  <c r="B1659" i="1" s="1"/>
  <c r="C1667" i="1"/>
  <c r="B1667" i="1" s="1"/>
  <c r="C1675" i="1"/>
  <c r="B1675" i="1" s="1"/>
  <c r="C1683" i="1"/>
  <c r="B1683" i="1" s="1"/>
  <c r="C1691" i="1"/>
  <c r="B1691" i="1" s="1"/>
  <c r="C1699" i="1"/>
  <c r="B1699" i="1" s="1"/>
  <c r="C1707" i="1"/>
  <c r="B1707" i="1" s="1"/>
  <c r="C1715" i="1"/>
  <c r="B1715" i="1" s="1"/>
  <c r="C1723" i="1"/>
  <c r="B1723" i="1" s="1"/>
  <c r="C1731" i="1"/>
  <c r="B1731" i="1" s="1"/>
  <c r="C1739" i="1"/>
  <c r="B1739" i="1" s="1"/>
  <c r="C1747" i="1"/>
  <c r="B1747" i="1" s="1"/>
  <c r="C1755" i="1"/>
  <c r="B1755" i="1" s="1"/>
  <c r="C1763" i="1"/>
  <c r="B1763" i="1" s="1"/>
  <c r="C1771" i="1"/>
  <c r="B1771" i="1" s="1"/>
  <c r="C1779" i="1"/>
  <c r="B1779" i="1" s="1"/>
  <c r="C1787" i="1"/>
  <c r="B1787" i="1" s="1"/>
  <c r="C1795" i="1"/>
  <c r="B1795" i="1" s="1"/>
  <c r="C1803" i="1"/>
  <c r="B1803" i="1" s="1"/>
  <c r="C1811" i="1"/>
  <c r="B1811" i="1" s="1"/>
  <c r="C1819" i="1"/>
  <c r="B1819" i="1" s="1"/>
  <c r="C1827" i="1"/>
  <c r="B1827" i="1" s="1"/>
  <c r="C1835" i="1"/>
  <c r="B1835" i="1" s="1"/>
  <c r="C1843" i="1"/>
  <c r="B1843" i="1" s="1"/>
  <c r="C1851" i="1"/>
  <c r="B1851" i="1" s="1"/>
  <c r="C1859" i="1"/>
  <c r="B1859" i="1" s="1"/>
  <c r="C1867" i="1"/>
  <c r="B1867" i="1" s="1"/>
  <c r="C1875" i="1"/>
  <c r="B1875" i="1" s="1"/>
  <c r="C1883" i="1"/>
  <c r="B1883" i="1" s="1"/>
  <c r="C1891" i="1"/>
  <c r="B1891" i="1" s="1"/>
  <c r="C1899" i="1"/>
  <c r="B1899" i="1" s="1"/>
  <c r="C1171" i="1"/>
  <c r="B1171" i="1" s="1"/>
  <c r="C1203" i="1"/>
  <c r="B1203" i="1" s="1"/>
  <c r="C1221" i="1"/>
  <c r="B1221" i="1" s="1"/>
  <c r="C1237" i="1"/>
  <c r="B1237" i="1" s="1"/>
  <c r="C1253" i="1"/>
  <c r="B1253" i="1" s="1"/>
  <c r="C1269" i="1"/>
  <c r="B1269" i="1" s="1"/>
  <c r="C1285" i="1"/>
  <c r="B1285" i="1" s="1"/>
  <c r="C1301" i="1"/>
  <c r="B1301" i="1" s="1"/>
  <c r="C1317" i="1"/>
  <c r="B1317" i="1" s="1"/>
  <c r="C1333" i="1"/>
  <c r="B1333" i="1" s="1"/>
  <c r="C1349" i="1"/>
  <c r="B1349" i="1" s="1"/>
  <c r="C1365" i="1"/>
  <c r="B1365" i="1" s="1"/>
  <c r="C1381" i="1"/>
  <c r="B1381" i="1" s="1"/>
  <c r="C1397" i="1"/>
  <c r="B1397" i="1" s="1"/>
  <c r="C1413" i="1"/>
  <c r="B1413" i="1" s="1"/>
  <c r="C1429" i="1"/>
  <c r="B1429" i="1" s="1"/>
  <c r="C1444" i="1"/>
  <c r="B1444" i="1" s="1"/>
  <c r="C1452" i="1"/>
  <c r="B1452" i="1" s="1"/>
  <c r="C1460" i="1"/>
  <c r="B1460" i="1" s="1"/>
  <c r="C1468" i="1"/>
  <c r="B1468" i="1" s="1"/>
  <c r="C1476" i="1"/>
  <c r="B1476" i="1" s="1"/>
  <c r="C1484" i="1"/>
  <c r="B1484" i="1" s="1"/>
  <c r="C1492" i="1"/>
  <c r="B1492" i="1" s="1"/>
  <c r="C1500" i="1"/>
  <c r="B1500" i="1" s="1"/>
  <c r="C1508" i="1"/>
  <c r="B1508" i="1" s="1"/>
  <c r="C1516" i="1"/>
  <c r="B1516" i="1" s="1"/>
  <c r="C1524" i="1"/>
  <c r="B1524" i="1" s="1"/>
  <c r="C1532" i="1"/>
  <c r="B1532" i="1" s="1"/>
  <c r="C1540" i="1"/>
  <c r="B1540" i="1" s="1"/>
  <c r="C1548" i="1"/>
  <c r="B1548" i="1" s="1"/>
  <c r="C1556" i="1"/>
  <c r="B1556" i="1" s="1"/>
  <c r="C1564" i="1"/>
  <c r="B1564" i="1" s="1"/>
  <c r="C1572" i="1"/>
  <c r="B1572" i="1" s="1"/>
  <c r="C1580" i="1"/>
  <c r="B1580" i="1" s="1"/>
  <c r="C1588" i="1"/>
  <c r="B1588" i="1" s="1"/>
  <c r="C1596" i="1"/>
  <c r="B1596" i="1" s="1"/>
  <c r="C1604" i="1"/>
  <c r="B1604" i="1" s="1"/>
  <c r="C1612" i="1"/>
  <c r="B1612" i="1" s="1"/>
  <c r="C1620" i="1"/>
  <c r="B1620" i="1" s="1"/>
  <c r="C1628" i="1"/>
  <c r="B1628" i="1" s="1"/>
  <c r="C1636" i="1"/>
  <c r="B1636" i="1" s="1"/>
  <c r="C1644" i="1"/>
  <c r="B1644" i="1" s="1"/>
  <c r="C1652" i="1"/>
  <c r="B1652" i="1" s="1"/>
  <c r="C1660" i="1"/>
  <c r="B1660" i="1" s="1"/>
  <c r="C1668" i="1"/>
  <c r="B1668" i="1" s="1"/>
  <c r="C1676" i="1"/>
  <c r="B1676" i="1" s="1"/>
  <c r="C1684" i="1"/>
  <c r="B1684" i="1" s="1"/>
  <c r="C1692" i="1"/>
  <c r="B1692" i="1" s="1"/>
  <c r="C1700" i="1"/>
  <c r="B1700" i="1" s="1"/>
  <c r="C1708" i="1"/>
  <c r="B1708" i="1" s="1"/>
  <c r="C1716" i="1"/>
  <c r="B1716" i="1" s="1"/>
  <c r="C1724" i="1"/>
  <c r="B1724" i="1" s="1"/>
  <c r="C1732" i="1"/>
  <c r="B1732" i="1" s="1"/>
  <c r="C1740" i="1"/>
  <c r="B1740" i="1" s="1"/>
  <c r="C1748" i="1"/>
  <c r="B1748" i="1" s="1"/>
  <c r="C1756" i="1"/>
  <c r="B1756" i="1" s="1"/>
  <c r="C1764" i="1"/>
  <c r="B1764" i="1" s="1"/>
  <c r="C1772" i="1"/>
  <c r="B1772" i="1" s="1"/>
  <c r="C1780" i="1"/>
  <c r="B1780" i="1" s="1"/>
  <c r="C1788" i="1"/>
  <c r="B1788" i="1" s="1"/>
  <c r="C1796" i="1"/>
  <c r="B1796" i="1" s="1"/>
  <c r="C1804" i="1"/>
  <c r="B1804" i="1" s="1"/>
  <c r="C1812" i="1"/>
  <c r="B1812" i="1" s="1"/>
  <c r="C1820" i="1"/>
  <c r="B1820" i="1" s="1"/>
  <c r="C1828" i="1"/>
  <c r="B1828" i="1" s="1"/>
  <c r="C1836" i="1"/>
  <c r="B1836" i="1" s="1"/>
  <c r="C1844" i="1"/>
  <c r="B1844" i="1" s="1"/>
  <c r="C1852" i="1"/>
  <c r="B1852" i="1" s="1"/>
  <c r="C1860" i="1"/>
  <c r="B1860" i="1" s="1"/>
  <c r="C1868" i="1"/>
  <c r="B1868" i="1" s="1"/>
  <c r="C1876" i="1"/>
  <c r="B1876" i="1" s="1"/>
  <c r="C1884" i="1"/>
  <c r="B1884" i="1" s="1"/>
  <c r="C1892" i="1"/>
  <c r="B1892" i="1" s="1"/>
  <c r="C1900" i="1"/>
  <c r="B1900" i="1" s="1"/>
  <c r="C1173" i="1"/>
  <c r="B1173" i="1" s="1"/>
  <c r="C1205" i="1"/>
  <c r="B1205" i="1" s="1"/>
  <c r="C1226" i="1"/>
  <c r="B1226" i="1" s="1"/>
  <c r="C1242" i="1"/>
  <c r="B1242" i="1" s="1"/>
  <c r="C1258" i="1"/>
  <c r="B1258" i="1" s="1"/>
  <c r="C1274" i="1"/>
  <c r="B1274" i="1" s="1"/>
  <c r="C1290" i="1"/>
  <c r="B1290" i="1" s="1"/>
  <c r="C1306" i="1"/>
  <c r="B1306" i="1" s="1"/>
  <c r="C1322" i="1"/>
  <c r="B1322" i="1" s="1"/>
  <c r="C1338" i="1"/>
  <c r="B1338" i="1" s="1"/>
  <c r="C1354" i="1"/>
  <c r="B1354" i="1" s="1"/>
  <c r="C1370" i="1"/>
  <c r="B1370" i="1" s="1"/>
  <c r="C1386" i="1"/>
  <c r="B1386" i="1" s="1"/>
  <c r="C1402" i="1"/>
  <c r="B1402" i="1" s="1"/>
  <c r="C1418" i="1"/>
  <c r="B1418" i="1" s="1"/>
  <c r="C1434" i="1"/>
  <c r="B1434" i="1" s="1"/>
  <c r="C1445" i="1"/>
  <c r="B1445" i="1" s="1"/>
  <c r="C1453" i="1"/>
  <c r="B1453" i="1" s="1"/>
  <c r="C1461" i="1"/>
  <c r="B1461" i="1" s="1"/>
  <c r="C1469" i="1"/>
  <c r="B1469" i="1" s="1"/>
  <c r="C1477" i="1"/>
  <c r="B1477" i="1" s="1"/>
  <c r="C1485" i="1"/>
  <c r="B1485" i="1" s="1"/>
  <c r="C1493" i="1"/>
  <c r="B1493" i="1" s="1"/>
  <c r="C1501" i="1"/>
  <c r="B1501" i="1" s="1"/>
  <c r="C1509" i="1"/>
  <c r="B1509" i="1" s="1"/>
  <c r="C1517" i="1"/>
  <c r="B1517" i="1" s="1"/>
  <c r="C1525" i="1"/>
  <c r="B1525" i="1" s="1"/>
  <c r="C1533" i="1"/>
  <c r="B1533" i="1" s="1"/>
  <c r="C1541" i="1"/>
  <c r="B1541" i="1" s="1"/>
  <c r="C1549" i="1"/>
  <c r="B1549" i="1" s="1"/>
  <c r="C1557" i="1"/>
  <c r="B1557" i="1" s="1"/>
  <c r="C1565" i="1"/>
  <c r="B1565" i="1" s="1"/>
  <c r="C1573" i="1"/>
  <c r="B1573" i="1" s="1"/>
  <c r="C1581" i="1"/>
  <c r="B1581" i="1" s="1"/>
  <c r="C1589" i="1"/>
  <c r="B1589" i="1" s="1"/>
  <c r="C1597" i="1"/>
  <c r="B1597" i="1" s="1"/>
  <c r="C1605" i="1"/>
  <c r="B1605" i="1" s="1"/>
  <c r="C1613" i="1"/>
  <c r="B1613" i="1" s="1"/>
  <c r="C1621" i="1"/>
  <c r="B1621" i="1" s="1"/>
  <c r="C1629" i="1"/>
  <c r="B1629" i="1" s="1"/>
  <c r="C1637" i="1"/>
  <c r="B1637" i="1" s="1"/>
  <c r="C1645" i="1"/>
  <c r="B1645" i="1" s="1"/>
  <c r="C1653" i="1"/>
  <c r="B1653" i="1" s="1"/>
  <c r="C1661" i="1"/>
  <c r="B1661" i="1" s="1"/>
  <c r="C1669" i="1"/>
  <c r="B1669" i="1" s="1"/>
  <c r="C1677" i="1"/>
  <c r="B1677" i="1" s="1"/>
  <c r="C1685" i="1"/>
  <c r="B1685" i="1" s="1"/>
  <c r="C1693" i="1"/>
  <c r="B1693" i="1" s="1"/>
  <c r="C1701" i="1"/>
  <c r="B1701" i="1" s="1"/>
  <c r="C1709" i="1"/>
  <c r="B1709" i="1" s="1"/>
  <c r="C1717" i="1"/>
  <c r="B1717" i="1" s="1"/>
  <c r="C1725" i="1"/>
  <c r="B1725" i="1" s="1"/>
  <c r="C1733" i="1"/>
  <c r="B1733" i="1" s="1"/>
  <c r="C1741" i="1"/>
  <c r="B1741" i="1" s="1"/>
  <c r="C1749" i="1"/>
  <c r="B1749" i="1" s="1"/>
  <c r="C1757" i="1"/>
  <c r="B1757" i="1" s="1"/>
  <c r="C1765" i="1"/>
  <c r="B1765" i="1" s="1"/>
  <c r="C1773" i="1"/>
  <c r="B1773" i="1" s="1"/>
  <c r="C1781" i="1"/>
  <c r="B1781" i="1" s="1"/>
  <c r="C1789" i="1"/>
  <c r="B1789" i="1" s="1"/>
  <c r="C1797" i="1"/>
  <c r="B1797" i="1" s="1"/>
  <c r="C1805" i="1"/>
  <c r="B1805" i="1" s="1"/>
  <c r="C1813" i="1"/>
  <c r="B1813" i="1" s="1"/>
  <c r="C1821" i="1"/>
  <c r="B1821" i="1" s="1"/>
  <c r="C1829" i="1"/>
  <c r="B1829" i="1" s="1"/>
  <c r="C1837" i="1"/>
  <c r="B1837" i="1" s="1"/>
  <c r="C1845" i="1"/>
  <c r="B1845" i="1" s="1"/>
  <c r="C1853" i="1"/>
  <c r="B1853" i="1" s="1"/>
  <c r="C1861" i="1"/>
  <c r="B1861" i="1" s="1"/>
  <c r="C1869" i="1"/>
  <c r="B1869" i="1" s="1"/>
  <c r="C1877" i="1"/>
  <c r="B1877" i="1" s="1"/>
  <c r="C1885" i="1"/>
  <c r="B1885" i="1" s="1"/>
  <c r="C1893" i="1"/>
  <c r="B1893" i="1" s="1"/>
  <c r="C1901" i="1"/>
  <c r="B1901" i="1" s="1"/>
  <c r="C1179" i="1"/>
  <c r="B1179" i="1" s="1"/>
  <c r="C1210" i="1"/>
  <c r="B1210" i="1" s="1"/>
  <c r="C1227" i="1"/>
  <c r="B1227" i="1" s="1"/>
  <c r="C1243" i="1"/>
  <c r="B1243" i="1" s="1"/>
  <c r="C1259" i="1"/>
  <c r="B1259" i="1" s="1"/>
  <c r="C1275" i="1"/>
  <c r="B1275" i="1" s="1"/>
  <c r="C1291" i="1"/>
  <c r="B1291" i="1" s="1"/>
  <c r="C1307" i="1"/>
  <c r="B1307" i="1" s="1"/>
  <c r="C1323" i="1"/>
  <c r="B1323" i="1" s="1"/>
  <c r="C1339" i="1"/>
  <c r="B1339" i="1" s="1"/>
  <c r="C1355" i="1"/>
  <c r="B1355" i="1" s="1"/>
  <c r="C1371" i="1"/>
  <c r="B1371" i="1" s="1"/>
  <c r="C1387" i="1"/>
  <c r="B1387" i="1" s="1"/>
  <c r="C1403" i="1"/>
  <c r="B1403" i="1" s="1"/>
  <c r="C1419" i="1"/>
  <c r="B1419" i="1" s="1"/>
  <c r="C1435" i="1"/>
  <c r="B1435" i="1" s="1"/>
  <c r="C1446" i="1"/>
  <c r="B1446" i="1" s="1"/>
  <c r="C1454" i="1"/>
  <c r="B1454" i="1" s="1"/>
  <c r="C1462" i="1"/>
  <c r="B1462" i="1" s="1"/>
  <c r="C1470" i="1"/>
  <c r="B1470" i="1" s="1"/>
  <c r="C1478" i="1"/>
  <c r="B1478" i="1" s="1"/>
  <c r="C1486" i="1"/>
  <c r="B1486" i="1" s="1"/>
  <c r="C1494" i="1"/>
  <c r="B1494" i="1" s="1"/>
  <c r="C1502" i="1"/>
  <c r="B1502" i="1" s="1"/>
  <c r="C1510" i="1"/>
  <c r="B1510" i="1" s="1"/>
  <c r="C1518" i="1"/>
  <c r="B1518" i="1" s="1"/>
  <c r="C1526" i="1"/>
  <c r="B1526" i="1" s="1"/>
  <c r="C1534" i="1"/>
  <c r="B1534" i="1" s="1"/>
  <c r="C1542" i="1"/>
  <c r="B1542" i="1" s="1"/>
  <c r="C1550" i="1"/>
  <c r="B1550" i="1" s="1"/>
  <c r="C1558" i="1"/>
  <c r="B1558" i="1" s="1"/>
  <c r="C1566" i="1"/>
  <c r="B1566" i="1" s="1"/>
  <c r="C1574" i="1"/>
  <c r="B1574" i="1" s="1"/>
  <c r="C1582" i="1"/>
  <c r="B1582" i="1" s="1"/>
  <c r="C1590" i="1"/>
  <c r="B1590" i="1" s="1"/>
  <c r="C1598" i="1"/>
  <c r="B1598" i="1" s="1"/>
  <c r="C1606" i="1"/>
  <c r="B1606" i="1" s="1"/>
  <c r="C1614" i="1"/>
  <c r="B1614" i="1" s="1"/>
  <c r="C1622" i="1"/>
  <c r="B1622" i="1" s="1"/>
  <c r="C1630" i="1"/>
  <c r="B1630" i="1" s="1"/>
  <c r="C1638" i="1"/>
  <c r="B1638" i="1" s="1"/>
  <c r="C1646" i="1"/>
  <c r="B1646" i="1" s="1"/>
  <c r="C1654" i="1"/>
  <c r="B1654" i="1" s="1"/>
  <c r="C1662" i="1"/>
  <c r="B1662" i="1" s="1"/>
  <c r="C1670" i="1"/>
  <c r="B1670" i="1" s="1"/>
  <c r="C1678" i="1"/>
  <c r="B1678" i="1" s="1"/>
  <c r="C1686" i="1"/>
  <c r="B1686" i="1" s="1"/>
  <c r="C1694" i="1"/>
  <c r="B1694" i="1" s="1"/>
  <c r="C1702" i="1"/>
  <c r="B1702" i="1" s="1"/>
  <c r="C1710" i="1"/>
  <c r="B1710" i="1" s="1"/>
  <c r="C1718" i="1"/>
  <c r="B1718" i="1" s="1"/>
  <c r="C1726" i="1"/>
  <c r="B1726" i="1" s="1"/>
  <c r="C1734" i="1"/>
  <c r="B1734" i="1" s="1"/>
  <c r="C1742" i="1"/>
  <c r="B1742" i="1" s="1"/>
  <c r="C1750" i="1"/>
  <c r="B1750" i="1" s="1"/>
  <c r="C1758" i="1"/>
  <c r="B1758" i="1" s="1"/>
  <c r="C1766" i="1"/>
  <c r="B1766" i="1" s="1"/>
  <c r="C1774" i="1"/>
  <c r="B1774" i="1" s="1"/>
  <c r="C1782" i="1"/>
  <c r="B1782" i="1" s="1"/>
  <c r="C1790" i="1"/>
  <c r="B1790" i="1" s="1"/>
  <c r="C1798" i="1"/>
  <c r="B1798" i="1" s="1"/>
  <c r="C1806" i="1"/>
  <c r="B1806" i="1" s="1"/>
  <c r="C1814" i="1"/>
  <c r="B1814" i="1" s="1"/>
  <c r="C1822" i="1"/>
  <c r="B1822" i="1" s="1"/>
  <c r="C1830" i="1"/>
  <c r="B1830" i="1" s="1"/>
  <c r="C1838" i="1"/>
  <c r="B1838" i="1" s="1"/>
  <c r="C1846" i="1"/>
  <c r="B1846" i="1" s="1"/>
  <c r="C1854" i="1"/>
  <c r="B1854" i="1" s="1"/>
  <c r="C1862" i="1"/>
  <c r="B1862" i="1" s="1"/>
  <c r="C1870" i="1"/>
  <c r="B1870" i="1" s="1"/>
  <c r="C1878" i="1"/>
  <c r="B1878" i="1" s="1"/>
  <c r="C1886" i="1"/>
  <c r="B1886" i="1" s="1"/>
  <c r="C1894" i="1"/>
  <c r="B1894" i="1" s="1"/>
  <c r="C1181" i="1"/>
  <c r="B1181" i="1" s="1"/>
  <c r="C1211" i="1"/>
  <c r="B1211" i="1" s="1"/>
  <c r="C1228" i="1"/>
  <c r="B1228" i="1" s="1"/>
  <c r="C1244" i="1"/>
  <c r="B1244" i="1" s="1"/>
  <c r="C1260" i="1"/>
  <c r="B1260" i="1" s="1"/>
  <c r="C1276" i="1"/>
  <c r="B1276" i="1" s="1"/>
  <c r="C1292" i="1"/>
  <c r="B1292" i="1" s="1"/>
  <c r="C1308" i="1"/>
  <c r="B1308" i="1" s="1"/>
  <c r="C1324" i="1"/>
  <c r="B1324" i="1" s="1"/>
  <c r="C1340" i="1"/>
  <c r="B1340" i="1" s="1"/>
  <c r="C1356" i="1"/>
  <c r="B1356" i="1" s="1"/>
  <c r="C1372" i="1"/>
  <c r="B1372" i="1" s="1"/>
  <c r="C1388" i="1"/>
  <c r="B1388" i="1" s="1"/>
  <c r="C1404" i="1"/>
  <c r="B1404" i="1" s="1"/>
  <c r="C1420" i="1"/>
  <c r="B1420" i="1" s="1"/>
  <c r="C1436" i="1"/>
  <c r="B1436" i="1" s="1"/>
  <c r="C1447" i="1"/>
  <c r="B1447" i="1" s="1"/>
  <c r="C1455" i="1"/>
  <c r="B1455" i="1" s="1"/>
  <c r="C1463" i="1"/>
  <c r="B1463" i="1" s="1"/>
  <c r="C1471" i="1"/>
  <c r="B1471" i="1" s="1"/>
  <c r="C1479" i="1"/>
  <c r="B1479" i="1" s="1"/>
  <c r="C1487" i="1"/>
  <c r="B1487" i="1" s="1"/>
  <c r="C1495" i="1"/>
  <c r="B1495" i="1" s="1"/>
  <c r="C1503" i="1"/>
  <c r="B1503" i="1" s="1"/>
  <c r="C1511" i="1"/>
  <c r="B1511" i="1" s="1"/>
  <c r="C1519" i="1"/>
  <c r="B1519" i="1" s="1"/>
  <c r="C1527" i="1"/>
  <c r="B1527" i="1" s="1"/>
  <c r="C1535" i="1"/>
  <c r="B1535" i="1" s="1"/>
  <c r="C1543" i="1"/>
  <c r="B1543" i="1" s="1"/>
  <c r="C1551" i="1"/>
  <c r="B1551" i="1" s="1"/>
  <c r="C1559" i="1"/>
  <c r="B1559" i="1" s="1"/>
  <c r="C1567" i="1"/>
  <c r="B1567" i="1" s="1"/>
  <c r="C1575" i="1"/>
  <c r="B1575" i="1" s="1"/>
  <c r="C1583" i="1"/>
  <c r="B1583" i="1" s="1"/>
  <c r="C1591" i="1"/>
  <c r="B1591" i="1" s="1"/>
  <c r="C1599" i="1"/>
  <c r="B1599" i="1" s="1"/>
  <c r="C1607" i="1"/>
  <c r="B1607" i="1" s="1"/>
  <c r="C1615" i="1"/>
  <c r="B1615" i="1" s="1"/>
  <c r="C1623" i="1"/>
  <c r="B1623" i="1" s="1"/>
  <c r="C1631" i="1"/>
  <c r="B1631" i="1" s="1"/>
  <c r="C1639" i="1"/>
  <c r="B1639" i="1" s="1"/>
  <c r="C1647" i="1"/>
  <c r="B1647" i="1" s="1"/>
  <c r="C1655" i="1"/>
  <c r="B1655" i="1" s="1"/>
  <c r="C1663" i="1"/>
  <c r="B1663" i="1" s="1"/>
  <c r="C1671" i="1"/>
  <c r="B1671" i="1" s="1"/>
  <c r="C1679" i="1"/>
  <c r="B1679" i="1" s="1"/>
  <c r="C1687" i="1"/>
  <c r="B1687" i="1" s="1"/>
  <c r="C1695" i="1"/>
  <c r="B1695" i="1" s="1"/>
  <c r="C1703" i="1"/>
  <c r="B1703" i="1" s="1"/>
  <c r="C1711" i="1"/>
  <c r="B1711" i="1" s="1"/>
  <c r="C1719" i="1"/>
  <c r="B1719" i="1" s="1"/>
  <c r="C1727" i="1"/>
  <c r="B1727" i="1" s="1"/>
  <c r="C1735" i="1"/>
  <c r="B1735" i="1" s="1"/>
  <c r="C1743" i="1"/>
  <c r="B1743" i="1" s="1"/>
  <c r="C1751" i="1"/>
  <c r="B1751" i="1" s="1"/>
  <c r="C1759" i="1"/>
  <c r="B1759" i="1" s="1"/>
  <c r="C1767" i="1"/>
  <c r="B1767" i="1" s="1"/>
  <c r="C1775" i="1"/>
  <c r="B1775" i="1" s="1"/>
  <c r="C1783" i="1"/>
  <c r="B1783" i="1" s="1"/>
  <c r="C1791" i="1"/>
  <c r="B1791" i="1" s="1"/>
  <c r="C1799" i="1"/>
  <c r="B1799" i="1" s="1"/>
  <c r="C1807" i="1"/>
  <c r="B1807" i="1" s="1"/>
  <c r="C1815" i="1"/>
  <c r="B1815" i="1" s="1"/>
  <c r="C1823" i="1"/>
  <c r="B1823" i="1" s="1"/>
  <c r="C1831" i="1"/>
  <c r="B1831" i="1" s="1"/>
  <c r="C1839" i="1"/>
  <c r="B1839" i="1" s="1"/>
  <c r="C1847" i="1"/>
  <c r="B1847" i="1" s="1"/>
  <c r="C1855" i="1"/>
  <c r="B1855" i="1" s="1"/>
  <c r="C1863" i="1"/>
  <c r="B1863" i="1" s="1"/>
  <c r="C1871" i="1"/>
  <c r="B1871" i="1" s="1"/>
  <c r="C1879" i="1"/>
  <c r="B1879" i="1" s="1"/>
  <c r="C1887" i="1"/>
  <c r="B1887" i="1" s="1"/>
  <c r="C1895" i="1"/>
  <c r="B1895" i="1" s="1"/>
  <c r="C1187" i="1"/>
  <c r="B1187" i="1" s="1"/>
  <c r="C1213" i="1"/>
  <c r="B1213" i="1" s="1"/>
  <c r="C1229" i="1"/>
  <c r="B1229" i="1" s="1"/>
  <c r="C1245" i="1"/>
  <c r="B1245" i="1" s="1"/>
  <c r="C1261" i="1"/>
  <c r="B1261" i="1" s="1"/>
  <c r="C1277" i="1"/>
  <c r="B1277" i="1" s="1"/>
  <c r="C1293" i="1"/>
  <c r="B1293" i="1" s="1"/>
  <c r="C1309" i="1"/>
  <c r="B1309" i="1" s="1"/>
  <c r="C1325" i="1"/>
  <c r="B1325" i="1" s="1"/>
  <c r="C1341" i="1"/>
  <c r="B1341" i="1" s="1"/>
  <c r="C1357" i="1"/>
  <c r="B1357" i="1" s="1"/>
  <c r="C1373" i="1"/>
  <c r="B1373" i="1" s="1"/>
  <c r="C1389" i="1"/>
  <c r="B1389" i="1" s="1"/>
  <c r="C1405" i="1"/>
  <c r="B1405" i="1" s="1"/>
  <c r="C1421" i="1"/>
  <c r="B1421" i="1" s="1"/>
  <c r="C1437" i="1"/>
  <c r="B1437" i="1" s="1"/>
  <c r="C1448" i="1"/>
  <c r="B1448" i="1" s="1"/>
  <c r="C1456" i="1"/>
  <c r="B1456" i="1" s="1"/>
  <c r="C1464" i="1"/>
  <c r="B1464" i="1" s="1"/>
  <c r="C1472" i="1"/>
  <c r="B1472" i="1" s="1"/>
  <c r="C1480" i="1"/>
  <c r="B1480" i="1" s="1"/>
  <c r="C1488" i="1"/>
  <c r="B1488" i="1" s="1"/>
  <c r="C1496" i="1"/>
  <c r="B1496" i="1" s="1"/>
  <c r="C1504" i="1"/>
  <c r="B1504" i="1" s="1"/>
  <c r="C1512" i="1"/>
  <c r="B1512" i="1" s="1"/>
  <c r="C1520" i="1"/>
  <c r="B1520" i="1" s="1"/>
  <c r="C1528" i="1"/>
  <c r="B1528" i="1" s="1"/>
  <c r="C1536" i="1"/>
  <c r="B1536" i="1" s="1"/>
  <c r="C1544" i="1"/>
  <c r="B1544" i="1" s="1"/>
  <c r="C1552" i="1"/>
  <c r="B1552" i="1" s="1"/>
  <c r="C1560" i="1"/>
  <c r="B1560" i="1" s="1"/>
  <c r="C1568" i="1"/>
  <c r="B1568" i="1" s="1"/>
  <c r="C1576" i="1"/>
  <c r="B1576" i="1" s="1"/>
  <c r="C1584" i="1"/>
  <c r="B1584" i="1" s="1"/>
  <c r="C1592" i="1"/>
  <c r="B1592" i="1" s="1"/>
  <c r="C1600" i="1"/>
  <c r="B1600" i="1" s="1"/>
  <c r="C1608" i="1"/>
  <c r="B1608" i="1" s="1"/>
  <c r="C1616" i="1"/>
  <c r="B1616" i="1" s="1"/>
  <c r="C1624" i="1"/>
  <c r="B1624" i="1" s="1"/>
  <c r="C1632" i="1"/>
  <c r="B1632" i="1" s="1"/>
  <c r="C1640" i="1"/>
  <c r="B1640" i="1" s="1"/>
  <c r="C1648" i="1"/>
  <c r="B1648" i="1" s="1"/>
  <c r="C1656" i="1"/>
  <c r="B1656" i="1" s="1"/>
  <c r="C1664" i="1"/>
  <c r="B1664" i="1" s="1"/>
  <c r="C1672" i="1"/>
  <c r="B1672" i="1" s="1"/>
  <c r="C1680" i="1"/>
  <c r="B1680" i="1" s="1"/>
  <c r="C1688" i="1"/>
  <c r="B1688" i="1" s="1"/>
  <c r="C1696" i="1"/>
  <c r="B1696" i="1" s="1"/>
  <c r="C1704" i="1"/>
  <c r="B1704" i="1" s="1"/>
  <c r="C1712" i="1"/>
  <c r="B1712" i="1" s="1"/>
  <c r="C1720" i="1"/>
  <c r="B1720" i="1" s="1"/>
  <c r="C1728" i="1"/>
  <c r="B1728" i="1" s="1"/>
  <c r="C1736" i="1"/>
  <c r="B1736" i="1" s="1"/>
  <c r="C1744" i="1"/>
  <c r="B1744" i="1" s="1"/>
  <c r="C1752" i="1"/>
  <c r="B1752" i="1" s="1"/>
  <c r="C1760" i="1"/>
  <c r="B1760" i="1" s="1"/>
  <c r="C1768" i="1"/>
  <c r="B1768" i="1" s="1"/>
  <c r="C1776" i="1"/>
  <c r="B1776" i="1" s="1"/>
  <c r="C1784" i="1"/>
  <c r="B1784" i="1" s="1"/>
  <c r="C1792" i="1"/>
  <c r="B1792" i="1" s="1"/>
  <c r="C1800" i="1"/>
  <c r="B1800" i="1" s="1"/>
  <c r="C1808" i="1"/>
  <c r="B1808" i="1" s="1"/>
  <c r="C1816" i="1"/>
  <c r="B1816" i="1" s="1"/>
  <c r="C1824" i="1"/>
  <c r="B1824" i="1" s="1"/>
  <c r="C1832" i="1"/>
  <c r="B1832" i="1" s="1"/>
  <c r="C1840" i="1"/>
  <c r="B1840" i="1" s="1"/>
  <c r="C1848" i="1"/>
  <c r="B1848" i="1" s="1"/>
  <c r="C1856" i="1"/>
  <c r="B1856" i="1" s="1"/>
  <c r="C1864" i="1"/>
  <c r="B1864" i="1" s="1"/>
  <c r="C1872" i="1"/>
  <c r="B1872" i="1" s="1"/>
  <c r="C1880" i="1"/>
  <c r="B1880" i="1" s="1"/>
  <c r="C1888" i="1"/>
  <c r="B1888" i="1" s="1"/>
  <c r="C1896" i="1"/>
  <c r="B1896" i="1" s="1"/>
  <c r="C1189" i="1"/>
  <c r="B1189" i="1" s="1"/>
  <c r="C1218" i="1"/>
  <c r="B1218" i="1" s="1"/>
  <c r="C1234" i="1"/>
  <c r="B1234" i="1" s="1"/>
  <c r="C1250" i="1"/>
  <c r="B1250" i="1" s="1"/>
  <c r="C1266" i="1"/>
  <c r="B1266" i="1" s="1"/>
  <c r="C1282" i="1"/>
  <c r="B1282" i="1" s="1"/>
  <c r="C1298" i="1"/>
  <c r="B1298" i="1" s="1"/>
  <c r="C1314" i="1"/>
  <c r="B1314" i="1" s="1"/>
  <c r="C1330" i="1"/>
  <c r="B1330" i="1" s="1"/>
  <c r="C1346" i="1"/>
  <c r="B1346" i="1" s="1"/>
  <c r="C1362" i="1"/>
  <c r="B1362" i="1" s="1"/>
  <c r="C1378" i="1"/>
  <c r="B1378" i="1" s="1"/>
  <c r="C1394" i="1"/>
  <c r="B1394" i="1" s="1"/>
  <c r="C1410" i="1"/>
  <c r="B1410" i="1" s="1"/>
  <c r="C1426" i="1"/>
  <c r="B1426" i="1" s="1"/>
  <c r="C1440" i="1"/>
  <c r="B1440" i="1" s="1"/>
  <c r="C1449" i="1"/>
  <c r="B1449" i="1" s="1"/>
  <c r="C1457" i="1"/>
  <c r="B1457" i="1" s="1"/>
  <c r="C1465" i="1"/>
  <c r="B1465" i="1" s="1"/>
  <c r="C1473" i="1"/>
  <c r="B1473" i="1" s="1"/>
  <c r="C1481" i="1"/>
  <c r="B1481" i="1" s="1"/>
  <c r="C1489" i="1"/>
  <c r="B1489" i="1" s="1"/>
  <c r="C1497" i="1"/>
  <c r="B1497" i="1" s="1"/>
  <c r="C1505" i="1"/>
  <c r="B1505" i="1" s="1"/>
  <c r="C1513" i="1"/>
  <c r="B1513" i="1" s="1"/>
  <c r="C1521" i="1"/>
  <c r="B1521" i="1" s="1"/>
  <c r="C1529" i="1"/>
  <c r="B1529" i="1" s="1"/>
  <c r="C1537" i="1"/>
  <c r="B1537" i="1" s="1"/>
  <c r="C1545" i="1"/>
  <c r="B1545" i="1" s="1"/>
  <c r="C1553" i="1"/>
  <c r="B1553" i="1" s="1"/>
  <c r="C1561" i="1"/>
  <c r="B1561" i="1" s="1"/>
  <c r="C1569" i="1"/>
  <c r="B1569" i="1" s="1"/>
  <c r="C1577" i="1"/>
  <c r="B1577" i="1" s="1"/>
  <c r="C1585" i="1"/>
  <c r="B1585" i="1" s="1"/>
  <c r="C1593" i="1"/>
  <c r="B1593" i="1" s="1"/>
  <c r="C1601" i="1"/>
  <c r="B1601" i="1" s="1"/>
  <c r="C1609" i="1"/>
  <c r="B1609" i="1" s="1"/>
  <c r="C1617" i="1"/>
  <c r="B1617" i="1" s="1"/>
  <c r="C1625" i="1"/>
  <c r="B1625" i="1" s="1"/>
  <c r="C1633" i="1"/>
  <c r="B1633" i="1" s="1"/>
  <c r="C1641" i="1"/>
  <c r="B1641" i="1" s="1"/>
  <c r="C1649" i="1"/>
  <c r="B1649" i="1" s="1"/>
  <c r="C1657" i="1"/>
  <c r="B1657" i="1" s="1"/>
  <c r="C1665" i="1"/>
  <c r="B1665" i="1" s="1"/>
  <c r="C1673" i="1"/>
  <c r="B1673" i="1" s="1"/>
  <c r="C1681" i="1"/>
  <c r="B1681" i="1" s="1"/>
  <c r="C1689" i="1"/>
  <c r="B1689" i="1" s="1"/>
  <c r="C1697" i="1"/>
  <c r="B1697" i="1" s="1"/>
  <c r="C1705" i="1"/>
  <c r="B1705" i="1" s="1"/>
  <c r="C1713" i="1"/>
  <c r="B1713" i="1" s="1"/>
  <c r="C1721" i="1"/>
  <c r="B1721" i="1" s="1"/>
  <c r="C1729" i="1"/>
  <c r="B1729" i="1" s="1"/>
  <c r="C1737" i="1"/>
  <c r="B1737" i="1" s="1"/>
  <c r="C1745" i="1"/>
  <c r="B1745" i="1" s="1"/>
  <c r="C1753" i="1"/>
  <c r="B1753" i="1" s="1"/>
  <c r="C1761" i="1"/>
  <c r="B1761" i="1" s="1"/>
  <c r="C1769" i="1"/>
  <c r="B1769" i="1" s="1"/>
  <c r="C1777" i="1"/>
  <c r="B1777" i="1" s="1"/>
  <c r="C1785" i="1"/>
  <c r="B1785" i="1" s="1"/>
  <c r="C1793" i="1"/>
  <c r="B1793" i="1" s="1"/>
  <c r="C1801" i="1"/>
  <c r="B1801" i="1" s="1"/>
  <c r="C1809" i="1"/>
  <c r="B1809" i="1" s="1"/>
  <c r="C1817" i="1"/>
  <c r="B1817" i="1" s="1"/>
  <c r="C1825" i="1"/>
  <c r="B1825" i="1" s="1"/>
  <c r="C1833" i="1"/>
  <c r="B1833" i="1" s="1"/>
  <c r="C1841" i="1"/>
  <c r="B1841" i="1" s="1"/>
  <c r="C1849" i="1"/>
  <c r="B1849" i="1" s="1"/>
  <c r="C1857" i="1"/>
  <c r="B1857" i="1" s="1"/>
  <c r="C1865" i="1"/>
  <c r="B1865" i="1" s="1"/>
  <c r="C1873" i="1"/>
  <c r="B1873" i="1" s="1"/>
  <c r="C1881" i="1"/>
  <c r="B1881" i="1" s="1"/>
  <c r="C1889" i="1"/>
  <c r="B1889" i="1" s="1"/>
  <c r="C1897" i="1"/>
  <c r="B1897" i="1" s="1"/>
  <c r="C180" i="1"/>
  <c r="B180" i="1" s="1"/>
  <c r="C71" i="1"/>
  <c r="B71" i="1" s="1"/>
  <c r="C143" i="1"/>
  <c r="B143" i="1" s="1"/>
  <c r="C88" i="1"/>
  <c r="B88" i="1" s="1"/>
  <c r="C114" i="1"/>
  <c r="B114" i="1" s="1"/>
  <c r="C138" i="1"/>
  <c r="B138" i="1" s="1"/>
  <c r="C164" i="1"/>
  <c r="B164" i="1" s="1"/>
  <c r="C196" i="1"/>
  <c r="B196" i="1" s="1"/>
  <c r="C51" i="1"/>
  <c r="B51" i="1" s="1"/>
  <c r="C78" i="1"/>
  <c r="B78" i="1" s="1"/>
  <c r="C3" i="1"/>
  <c r="B3" i="1" s="1"/>
  <c r="C107" i="1"/>
  <c r="B107" i="1" s="1"/>
  <c r="C40" i="1"/>
  <c r="B40" i="1" s="1"/>
  <c r="C53" i="1"/>
  <c r="B53" i="1" s="1"/>
  <c r="C193" i="1"/>
  <c r="B193" i="1" s="1"/>
  <c r="C33" i="1"/>
  <c r="B33" i="1" s="1"/>
  <c r="C183" i="1"/>
  <c r="B183" i="1" s="1"/>
  <c r="C133" i="1"/>
  <c r="B133" i="1" s="1"/>
  <c r="C15" i="1"/>
  <c r="B15" i="1" s="1"/>
  <c r="C165" i="1"/>
  <c r="B165" i="1" s="1"/>
  <c r="C30" i="1"/>
  <c r="B30" i="1" s="1"/>
  <c r="C22" i="1"/>
  <c r="B22" i="1" s="1"/>
  <c r="C34" i="1"/>
  <c r="B34" i="1" s="1"/>
  <c r="C96" i="1"/>
  <c r="B96" i="1" s="1"/>
  <c r="C63" i="1"/>
  <c r="B63" i="1" s="1"/>
  <c r="C75" i="1"/>
  <c r="B75" i="1" s="1"/>
  <c r="C6" i="1"/>
  <c r="B6" i="1" s="1"/>
  <c r="C171" i="1"/>
  <c r="B171" i="1" s="1"/>
  <c r="C186" i="1"/>
  <c r="B186" i="1" s="1"/>
  <c r="C169" i="1"/>
  <c r="B169" i="1" s="1"/>
  <c r="C90" i="1"/>
  <c r="B90" i="1" s="1"/>
  <c r="C141" i="1"/>
  <c r="B141" i="1" s="1"/>
  <c r="C16" i="1"/>
  <c r="B16" i="1" s="1"/>
  <c r="C162" i="1"/>
  <c r="B162" i="1" s="1"/>
  <c r="C35" i="1"/>
  <c r="B35" i="1" s="1"/>
  <c r="C42" i="1"/>
  <c r="B42" i="1" s="1"/>
  <c r="C21" i="1"/>
  <c r="B21" i="1" s="1"/>
  <c r="C198" i="1"/>
  <c r="B198" i="1" s="1"/>
  <c r="C54" i="1"/>
  <c r="B54" i="1" s="1"/>
  <c r="C94" i="1"/>
  <c r="B94" i="1" s="1"/>
  <c r="C103" i="1"/>
  <c r="B103" i="1" s="1"/>
  <c r="C197" i="1"/>
  <c r="B197" i="1" s="1"/>
  <c r="C14" i="1"/>
  <c r="B14" i="1" s="1"/>
  <c r="C148" i="1"/>
  <c r="B148" i="1" s="1"/>
  <c r="C191" i="1"/>
  <c r="B191" i="1" s="1"/>
  <c r="C37" i="1"/>
  <c r="B37" i="1" s="1"/>
  <c r="C19" i="1"/>
  <c r="B19" i="1" s="1"/>
  <c r="C84" i="1"/>
  <c r="B84" i="1" s="1"/>
  <c r="C97" i="1"/>
  <c r="B97" i="1" s="1"/>
  <c r="C105" i="1"/>
  <c r="B105" i="1" s="1"/>
  <c r="C126" i="1"/>
  <c r="B126" i="1" s="1"/>
  <c r="C142" i="1"/>
  <c r="B142" i="1" s="1"/>
  <c r="C44" i="1"/>
  <c r="B44" i="1" s="1"/>
  <c r="C74" i="1"/>
  <c r="B74" i="1" s="1"/>
  <c r="C187" i="1"/>
  <c r="B187" i="1" s="1"/>
  <c r="C189" i="1"/>
  <c r="B189" i="1" s="1"/>
  <c r="C129" i="1"/>
  <c r="B129" i="1" s="1"/>
  <c r="C172" i="1"/>
  <c r="B172" i="1" s="1"/>
  <c r="C159" i="1"/>
  <c r="B159" i="1" s="1"/>
  <c r="C93" i="1"/>
  <c r="B93" i="1" s="1"/>
  <c r="C110" i="1"/>
  <c r="B110" i="1" s="1"/>
  <c r="C32" i="1"/>
  <c r="B32" i="1" s="1"/>
  <c r="C188" i="1"/>
  <c r="B188" i="1" s="1"/>
  <c r="C100" i="1"/>
  <c r="B100" i="1" s="1"/>
  <c r="C47" i="1"/>
  <c r="B47" i="1" s="1"/>
  <c r="C109" i="1"/>
  <c r="B109" i="1" s="1"/>
  <c r="C182" i="1"/>
  <c r="B182" i="1" s="1"/>
  <c r="C150" i="1"/>
  <c r="B150" i="1" s="1"/>
  <c r="C46" i="1"/>
  <c r="B46" i="1" s="1"/>
  <c r="C61" i="1"/>
  <c r="B61" i="1" s="1"/>
  <c r="C91" i="1"/>
  <c r="B91" i="1" s="1"/>
  <c r="C194" i="1"/>
  <c r="B194" i="1" s="1"/>
  <c r="C120" i="1"/>
  <c r="B120" i="1" s="1"/>
  <c r="C56" i="1"/>
  <c r="B56" i="1" s="1"/>
  <c r="C167" i="1"/>
  <c r="B167" i="1" s="1"/>
  <c r="C173" i="1"/>
  <c r="B173" i="1" s="1"/>
  <c r="C36" i="1"/>
  <c r="B36" i="1" s="1"/>
  <c r="C127" i="1"/>
  <c r="B127" i="1" s="1"/>
  <c r="C98" i="1"/>
  <c r="B98" i="1" s="1"/>
  <c r="C121" i="1"/>
  <c r="B121" i="1" s="1"/>
  <c r="C68" i="1"/>
  <c r="B68" i="1" s="1"/>
  <c r="C8" i="1"/>
  <c r="B8" i="1" s="1"/>
  <c r="C58" i="1"/>
  <c r="B58" i="1" s="1"/>
  <c r="C83" i="1"/>
  <c r="B83" i="1" s="1"/>
  <c r="C163" i="1"/>
  <c r="B163" i="1" s="1"/>
  <c r="C50" i="1"/>
  <c r="B50" i="1" s="1"/>
  <c r="C154" i="1"/>
  <c r="B154" i="1" s="1"/>
  <c r="B2" i="1"/>
  <c r="C145" i="1"/>
  <c r="B145" i="1" s="1"/>
  <c r="C153" i="1"/>
  <c r="B153" i="1" s="1"/>
  <c r="C140" i="1"/>
  <c r="B140" i="1" s="1"/>
  <c r="C128" i="1"/>
  <c r="B128" i="1" s="1"/>
  <c r="C149" i="1"/>
  <c r="B149" i="1" s="1"/>
  <c r="C12" i="1"/>
  <c r="B12" i="1" s="1"/>
  <c r="C67" i="1"/>
  <c r="B67" i="1" s="1"/>
  <c r="C136" i="1"/>
  <c r="B136" i="1" s="1"/>
  <c r="C170" i="1"/>
  <c r="B170" i="1" s="1"/>
  <c r="C48" i="1"/>
  <c r="B48" i="1" s="1"/>
  <c r="C65" i="1"/>
  <c r="B65" i="1" s="1"/>
  <c r="C18" i="1"/>
  <c r="B18" i="1" s="1"/>
  <c r="C49" i="1"/>
  <c r="B49" i="1" s="1"/>
  <c r="C9" i="1"/>
  <c r="B9" i="1" s="1"/>
  <c r="C52" i="1"/>
  <c r="B52" i="1" s="1"/>
  <c r="C115" i="1"/>
  <c r="B115" i="1" s="1"/>
  <c r="C112" i="1"/>
  <c r="B112" i="1" s="1"/>
  <c r="C201" i="1"/>
  <c r="B201" i="1" s="1"/>
  <c r="C137" i="1"/>
  <c r="B137" i="1" s="1"/>
  <c r="C116" i="1"/>
  <c r="B116" i="1" s="1"/>
  <c r="C123" i="1"/>
  <c r="B123" i="1" s="1"/>
  <c r="C25" i="1"/>
  <c r="B25" i="1" s="1"/>
  <c r="C7" i="1"/>
  <c r="B7" i="1" s="1"/>
  <c r="C28" i="1"/>
  <c r="B28" i="1" s="1"/>
  <c r="C27" i="1"/>
  <c r="B27" i="1" s="1"/>
  <c r="C118" i="1"/>
  <c r="B118" i="1" s="1"/>
  <c r="C20" i="1"/>
  <c r="B20" i="1" s="1"/>
  <c r="C184" i="1"/>
  <c r="B184" i="1" s="1"/>
  <c r="C181" i="1"/>
  <c r="B181" i="1" s="1"/>
  <c r="C23" i="1"/>
  <c r="B23" i="1" s="1"/>
  <c r="C69" i="1"/>
  <c r="B69" i="1" s="1"/>
  <c r="C4" i="1"/>
  <c r="B4" i="1" s="1"/>
  <c r="C134" i="1"/>
  <c r="B134" i="1" s="1"/>
  <c r="C190" i="1"/>
  <c r="B190" i="1" s="1"/>
  <c r="C135" i="1"/>
  <c r="B135" i="1" s="1"/>
  <c r="C132" i="1"/>
  <c r="B132" i="1" s="1"/>
  <c r="C62" i="1"/>
  <c r="B62" i="1" s="1"/>
  <c r="C144" i="1"/>
  <c r="B144" i="1" s="1"/>
  <c r="C85" i="1"/>
  <c r="B85" i="1" s="1"/>
  <c r="C70" i="1"/>
  <c r="B70" i="1" s="1"/>
  <c r="C87" i="1"/>
  <c r="B87" i="1" s="1"/>
  <c r="C119" i="1"/>
  <c r="B119" i="1" s="1"/>
  <c r="C146" i="1"/>
  <c r="B146" i="1" s="1"/>
  <c r="C72" i="1"/>
  <c r="B72" i="1" s="1"/>
  <c r="C185" i="1"/>
  <c r="B185" i="1" s="1"/>
  <c r="C113" i="1"/>
  <c r="B113" i="1" s="1"/>
  <c r="C45" i="1"/>
  <c r="B45" i="1" s="1"/>
  <c r="C81" i="1"/>
  <c r="B81" i="1" s="1"/>
  <c r="C175" i="1"/>
  <c r="B175" i="1" s="1"/>
  <c r="C117" i="1"/>
  <c r="B117" i="1" s="1"/>
  <c r="C111" i="1"/>
  <c r="B111" i="1" s="1"/>
  <c r="C124" i="1"/>
  <c r="B124" i="1" s="1"/>
  <c r="C125" i="1"/>
  <c r="B125" i="1" s="1"/>
  <c r="C102" i="1"/>
  <c r="B102" i="1" s="1"/>
  <c r="C192" i="1"/>
  <c r="B192" i="1" s="1"/>
  <c r="C64" i="1"/>
  <c r="B64" i="1" s="1"/>
  <c r="C147" i="1"/>
  <c r="B147" i="1" s="1"/>
  <c r="C82" i="1"/>
  <c r="B82" i="1" s="1"/>
  <c r="C156" i="1"/>
  <c r="B156" i="1" s="1"/>
  <c r="C5" i="1"/>
  <c r="B5" i="1" s="1"/>
  <c r="C166" i="1"/>
  <c r="B166" i="1" s="1"/>
  <c r="C108" i="1"/>
  <c r="B108" i="1" s="1"/>
  <c r="C139" i="1"/>
  <c r="B139" i="1" s="1"/>
  <c r="C86" i="1"/>
  <c r="B86" i="1" s="1"/>
  <c r="C76" i="1"/>
  <c r="B76" i="1" s="1"/>
  <c r="C178" i="1"/>
  <c r="B178" i="1" s="1"/>
  <c r="C104" i="1"/>
  <c r="B104" i="1" s="1"/>
  <c r="C176" i="1"/>
  <c r="B176" i="1" s="1"/>
  <c r="C77" i="1"/>
  <c r="B77" i="1" s="1"/>
  <c r="C11" i="1"/>
  <c r="B11" i="1" s="1"/>
  <c r="C155" i="1"/>
  <c r="B155" i="1" s="1"/>
  <c r="C174" i="1"/>
  <c r="B174" i="1" s="1"/>
  <c r="C59" i="1"/>
  <c r="B59" i="1" s="1"/>
  <c r="C179" i="1"/>
  <c r="B179" i="1" s="1"/>
  <c r="C92" i="1"/>
  <c r="B92" i="1" s="1"/>
  <c r="C157" i="1"/>
  <c r="B157" i="1" s="1"/>
  <c r="C10" i="1"/>
  <c r="B10" i="1" s="1"/>
  <c r="C66" i="1"/>
  <c r="B66" i="1" s="1"/>
  <c r="C95" i="1"/>
  <c r="B95" i="1" s="1"/>
  <c r="C99" i="1"/>
  <c r="B99" i="1" s="1"/>
  <c r="C195" i="1"/>
  <c r="B195" i="1" s="1"/>
  <c r="C101" i="1"/>
  <c r="B101" i="1" s="1"/>
  <c r="C13" i="1"/>
  <c r="B13" i="1" s="1"/>
  <c r="C158" i="1"/>
  <c r="B158" i="1" s="1"/>
  <c r="C161" i="1"/>
  <c r="B161" i="1" s="1"/>
  <c r="C29" i="1"/>
  <c r="B29" i="1" s="1"/>
  <c r="C79" i="1"/>
  <c r="B79" i="1" s="1"/>
  <c r="C31" i="1"/>
  <c r="B31" i="1" s="1"/>
  <c r="C57" i="1"/>
  <c r="B57" i="1" s="1"/>
  <c r="C106" i="1"/>
  <c r="B106" i="1" s="1"/>
  <c r="C160" i="1"/>
  <c r="B160" i="1" s="1"/>
  <c r="C39" i="1"/>
  <c r="B39" i="1" s="1"/>
  <c r="C130" i="1"/>
  <c r="B130" i="1" s="1"/>
  <c r="C24" i="1"/>
  <c r="B24" i="1" s="1"/>
  <c r="C73" i="1"/>
  <c r="B73" i="1" s="1"/>
  <c r="C38" i="1"/>
  <c r="B38" i="1" s="1"/>
  <c r="C89" i="1"/>
  <c r="B89" i="1" s="1"/>
  <c r="C80" i="1"/>
  <c r="B80" i="1" s="1"/>
  <c r="C177" i="1"/>
  <c r="B177" i="1" s="1"/>
  <c r="C122" i="1"/>
  <c r="B122" i="1" s="1"/>
  <c r="C151" i="1"/>
  <c r="B151" i="1" s="1"/>
  <c r="C131" i="1"/>
  <c r="B131" i="1" s="1"/>
  <c r="C26" i="1"/>
  <c r="B26" i="1" s="1"/>
  <c r="C55" i="1"/>
  <c r="B55" i="1" s="1"/>
  <c r="A2" i="1" l="1"/>
  <c r="A1668" i="1"/>
  <c r="A158" i="1"/>
  <c r="A4" i="1"/>
  <c r="A5" i="1"/>
  <c r="A1460" i="1"/>
  <c r="A72" i="1"/>
  <c r="A122" i="1"/>
  <c r="A157" i="1"/>
  <c r="A124" i="1"/>
  <c r="A39" i="1"/>
  <c r="A132" i="1"/>
  <c r="A149" i="1"/>
  <c r="A110" i="1"/>
  <c r="A40" i="1"/>
  <c r="A1745" i="1"/>
  <c r="A1282" i="1"/>
  <c r="A1688" i="1"/>
  <c r="A1293" i="1"/>
  <c r="A1631" i="1"/>
  <c r="A1894" i="1"/>
  <c r="A1638" i="1"/>
  <c r="A1323" i="1"/>
  <c r="A1525" i="1"/>
  <c r="A106" i="1"/>
  <c r="A82" i="1"/>
  <c r="A190" i="1"/>
  <c r="A140" i="1"/>
  <c r="A159" i="1"/>
  <c r="A3" i="1"/>
  <c r="A1729" i="1"/>
  <c r="A1473" i="1"/>
  <c r="A1864" i="1"/>
  <c r="A1672" i="1"/>
  <c r="A1389" i="1"/>
  <c r="A1743" i="1"/>
  <c r="A1551" i="1"/>
  <c r="A1878" i="1"/>
  <c r="A1686" i="1"/>
  <c r="A1494" i="1"/>
  <c r="A1765" i="1"/>
  <c r="A1573" i="1"/>
  <c r="A1322" i="1"/>
  <c r="A1652" i="1"/>
  <c r="A89" i="1"/>
  <c r="A195" i="1"/>
  <c r="A175" i="1"/>
  <c r="A27" i="1"/>
  <c r="A8" i="1"/>
  <c r="A105" i="1"/>
  <c r="A75" i="1"/>
  <c r="A71" i="1"/>
  <c r="A1721" i="1"/>
  <c r="A1529" i="1"/>
  <c r="A1234" i="1"/>
  <c r="A1664" i="1"/>
  <c r="A1472" i="1"/>
  <c r="A1799" i="1"/>
  <c r="A1543" i="1"/>
  <c r="A1260" i="1"/>
  <c r="A1742" i="1"/>
  <c r="A1550" i="1"/>
  <c r="A1275" i="1"/>
  <c r="A1757" i="1"/>
  <c r="A1565" i="1"/>
  <c r="A1900" i="1"/>
  <c r="A1708" i="1"/>
  <c r="A1452" i="1"/>
  <c r="A1787" i="1"/>
  <c r="A1467" i="1"/>
  <c r="A924" i="1"/>
  <c r="A73" i="1"/>
  <c r="A18" i="1"/>
  <c r="A163" i="1"/>
  <c r="A21" i="1"/>
  <c r="A114" i="1"/>
  <c r="A1553" i="1"/>
  <c r="A1880" i="1"/>
  <c r="A1560" i="1"/>
  <c r="A1823" i="1"/>
  <c r="A1503" i="1"/>
  <c r="A1766" i="1"/>
  <c r="A1446" i="1"/>
  <c r="A1781" i="1"/>
  <c r="A1589" i="1"/>
  <c r="A1354" i="1"/>
  <c r="A1226" i="1"/>
  <c r="A1860" i="1"/>
  <c r="A1796" i="1"/>
  <c r="A1732" i="1"/>
  <c r="A177" i="1"/>
  <c r="A160" i="1"/>
  <c r="A13" i="1"/>
  <c r="A92" i="1"/>
  <c r="A104" i="1"/>
  <c r="A156" i="1"/>
  <c r="A111" i="1"/>
  <c r="A146" i="1"/>
  <c r="A135" i="1"/>
  <c r="A20" i="1"/>
  <c r="A137" i="1"/>
  <c r="A65" i="1"/>
  <c r="A128" i="1"/>
  <c r="A83" i="1"/>
  <c r="A173" i="1"/>
  <c r="A150" i="1"/>
  <c r="A93" i="1"/>
  <c r="A142" i="1"/>
  <c r="A148" i="1"/>
  <c r="A42" i="1"/>
  <c r="A171" i="1"/>
  <c r="A165" i="1"/>
  <c r="A107" i="1"/>
  <c r="A88" i="1"/>
  <c r="A1865" i="1"/>
  <c r="A1801" i="1"/>
  <c r="A1737" i="1"/>
  <c r="A1673" i="1"/>
  <c r="A1609" i="1"/>
  <c r="A1545" i="1"/>
  <c r="A1481" i="1"/>
  <c r="A1394" i="1"/>
  <c r="A1266" i="1"/>
  <c r="A1872" i="1"/>
  <c r="A1808" i="1"/>
  <c r="A1744" i="1"/>
  <c r="A1680" i="1"/>
  <c r="A1616" i="1"/>
  <c r="A1552" i="1"/>
  <c r="A1488" i="1"/>
  <c r="A1405" i="1"/>
  <c r="A1277" i="1"/>
  <c r="A1879" i="1"/>
  <c r="A1815" i="1"/>
  <c r="A1751" i="1"/>
  <c r="A1687" i="1"/>
  <c r="A1623" i="1"/>
  <c r="A1559" i="1"/>
  <c r="A1495" i="1"/>
  <c r="A1420" i="1"/>
  <c r="A1292" i="1"/>
  <c r="A1886" i="1"/>
  <c r="A1822" i="1"/>
  <c r="A1758" i="1"/>
  <c r="A1694" i="1"/>
  <c r="A1630" i="1"/>
  <c r="A1566" i="1"/>
  <c r="A1502" i="1"/>
  <c r="A1435" i="1"/>
  <c r="A1307" i="1"/>
  <c r="A1901" i="1"/>
  <c r="A1837" i="1"/>
  <c r="A1773" i="1"/>
  <c r="A1709" i="1"/>
  <c r="A1645" i="1"/>
  <c r="A1581" i="1"/>
  <c r="A1517" i="1"/>
  <c r="A191" i="1"/>
  <c r="A1681" i="1"/>
  <c r="A1816" i="1"/>
  <c r="A1759" i="1"/>
  <c r="A1702" i="1"/>
  <c r="A1717" i="1"/>
  <c r="A119" i="1"/>
  <c r="A35" i="1"/>
  <c r="A1665" i="1"/>
  <c r="A1736" i="1"/>
  <c r="A1807" i="1"/>
  <c r="A1814" i="1"/>
  <c r="A1893" i="1"/>
  <c r="A1780" i="1"/>
  <c r="A76" i="1"/>
  <c r="A109" i="1"/>
  <c r="A1785" i="1"/>
  <c r="A1735" i="1"/>
  <c r="A1885" i="1"/>
  <c r="A1306" i="1"/>
  <c r="A1333" i="1"/>
  <c r="A1595" i="1"/>
  <c r="A1738" i="1"/>
  <c r="A1267" i="1"/>
  <c r="A1038" i="1"/>
  <c r="A1045" i="1"/>
  <c r="A1180" i="1"/>
  <c r="A845" i="1"/>
  <c r="A717" i="1"/>
  <c r="A1139" i="1"/>
  <c r="A1075" i="1"/>
  <c r="A883" i="1"/>
  <c r="A116" i="1"/>
  <c r="A36" i="1"/>
  <c r="A30" i="1"/>
  <c r="A1809" i="1"/>
  <c r="A1489" i="1"/>
  <c r="A1752" i="1"/>
  <c r="A1421" i="1"/>
  <c r="A1695" i="1"/>
  <c r="A1308" i="1"/>
  <c r="A1574" i="1"/>
  <c r="A1179" i="1"/>
  <c r="A1461" i="1"/>
  <c r="A101" i="1"/>
  <c r="A117" i="1"/>
  <c r="A118" i="1"/>
  <c r="A58" i="1"/>
  <c r="A14" i="1"/>
  <c r="A15" i="1"/>
  <c r="A1793" i="1"/>
  <c r="A1537" i="1"/>
  <c r="A1800" i="1"/>
  <c r="A1544" i="1"/>
  <c r="A1871" i="1"/>
  <c r="A1615" i="1"/>
  <c r="A1276" i="1"/>
  <c r="A1622" i="1"/>
  <c r="A1419" i="1"/>
  <c r="A1701" i="1"/>
  <c r="A1509" i="1"/>
  <c r="A1173" i="1"/>
  <c r="A1524" i="1"/>
  <c r="A57" i="1"/>
  <c r="A147" i="1"/>
  <c r="A134" i="1"/>
  <c r="A48" i="1"/>
  <c r="A172" i="1"/>
  <c r="A162" i="1"/>
  <c r="A78" i="1"/>
  <c r="A1657" i="1"/>
  <c r="A1465" i="1"/>
  <c r="A1856" i="1"/>
  <c r="A1728" i="1"/>
  <c r="A1536" i="1"/>
  <c r="A1245" i="1"/>
  <c r="A1671" i="1"/>
  <c r="A1479" i="1"/>
  <c r="A1870" i="1"/>
  <c r="A1678" i="1"/>
  <c r="A1403" i="1"/>
  <c r="A1693" i="1"/>
  <c r="A1501" i="1"/>
  <c r="A1836" i="1"/>
  <c r="A1644" i="1"/>
  <c r="A1580" i="1"/>
  <c r="A1203" i="1"/>
  <c r="A1723" i="1"/>
  <c r="A1531" i="1"/>
  <c r="A1236" i="1"/>
  <c r="A1802" i="1"/>
  <c r="A1610" i="1"/>
  <c r="A1395" i="1"/>
  <c r="A1358" i="1"/>
  <c r="A1230" i="1"/>
  <c r="A1102" i="1"/>
  <c r="A910" i="1"/>
  <c r="A688" i="1"/>
  <c r="A981" i="1"/>
  <c r="A831" i="1"/>
  <c r="A1116" i="1"/>
  <c r="A988" i="1"/>
  <c r="A947" i="1"/>
  <c r="A38" i="1"/>
  <c r="A99" i="1"/>
  <c r="A86" i="1"/>
  <c r="A81" i="1"/>
  <c r="A115" i="1"/>
  <c r="A145" i="1"/>
  <c r="A120" i="1"/>
  <c r="A129" i="1"/>
  <c r="A103" i="1"/>
  <c r="A183" i="1"/>
  <c r="A1218" i="1"/>
  <c r="A44" i="1"/>
  <c r="A1617" i="1"/>
  <c r="A1496" i="1"/>
  <c r="A1436" i="1"/>
  <c r="A1845" i="1"/>
  <c r="A178" i="1"/>
  <c r="A182" i="1"/>
  <c r="A143" i="1"/>
  <c r="A1378" i="1"/>
  <c r="A1480" i="1"/>
  <c r="A1487" i="1"/>
  <c r="A1291" i="1"/>
  <c r="A1716" i="1"/>
  <c r="A153" i="1"/>
  <c r="A1546" i="1"/>
  <c r="A155" i="1"/>
  <c r="A176" i="1"/>
  <c r="A184" i="1"/>
  <c r="A46" i="1"/>
  <c r="A186" i="1"/>
  <c r="A1873" i="1"/>
  <c r="A1410" i="1"/>
  <c r="A1624" i="1"/>
  <c r="A1887" i="1"/>
  <c r="A1567" i="1"/>
  <c r="A1830" i="1"/>
  <c r="A1510" i="1"/>
  <c r="A1653" i="1"/>
  <c r="A80" i="1"/>
  <c r="A179" i="1"/>
  <c r="A201" i="1"/>
  <c r="A167" i="1"/>
  <c r="A126" i="1"/>
  <c r="A6" i="1"/>
  <c r="A1857" i="1"/>
  <c r="A1601" i="1"/>
  <c r="A1250" i="1"/>
  <c r="A1608" i="1"/>
  <c r="A1261" i="1"/>
  <c r="A1679" i="1"/>
  <c r="A1404" i="1"/>
  <c r="A1750" i="1"/>
  <c r="A1558" i="1"/>
  <c r="A1829" i="1"/>
  <c r="A1637" i="1"/>
  <c r="A1445" i="1"/>
  <c r="A1844" i="1"/>
  <c r="A1588" i="1"/>
  <c r="A59" i="1"/>
  <c r="A87" i="1"/>
  <c r="A112" i="1"/>
  <c r="A56" i="1"/>
  <c r="A197" i="1"/>
  <c r="A133" i="1"/>
  <c r="A1849" i="1"/>
  <c r="A1593" i="1"/>
  <c r="A1362" i="1"/>
  <c r="A1792" i="1"/>
  <c r="A1600" i="1"/>
  <c r="A1373" i="1"/>
  <c r="A1863" i="1"/>
  <c r="A1607" i="1"/>
  <c r="A1388" i="1"/>
  <c r="A1806" i="1"/>
  <c r="A1614" i="1"/>
  <c r="A1486" i="1"/>
  <c r="A1821" i="1"/>
  <c r="A1629" i="1"/>
  <c r="A1434" i="1"/>
  <c r="A1772" i="1"/>
  <c r="A1516" i="1"/>
  <c r="A1851" i="1"/>
  <c r="A1659" i="1"/>
  <c r="A1364" i="1"/>
  <c r="A1866" i="1"/>
  <c r="A1674" i="1"/>
  <c r="A1482" i="1"/>
  <c r="A1422" i="1"/>
  <c r="A1294" i="1"/>
  <c r="A1166" i="1"/>
  <c r="A974" i="1"/>
  <c r="A816" i="1"/>
  <c r="A1109" i="1"/>
  <c r="A917" i="1"/>
  <c r="A703" i="1"/>
  <c r="A1052" i="1"/>
  <c r="A1011" i="1"/>
  <c r="A55" i="1"/>
  <c r="A31" i="1"/>
  <c r="A174" i="1"/>
  <c r="A64" i="1"/>
  <c r="A70" i="1"/>
  <c r="A28" i="1"/>
  <c r="A170" i="1"/>
  <c r="A68" i="1"/>
  <c r="A47" i="1"/>
  <c r="A97" i="1"/>
  <c r="A16" i="1"/>
  <c r="A63" i="1"/>
  <c r="A51" i="1"/>
  <c r="A180" i="1"/>
  <c r="A1841" i="1"/>
  <c r="A1777" i="1"/>
  <c r="A1713" i="1"/>
  <c r="A1649" i="1"/>
  <c r="A1585" i="1"/>
  <c r="A1521" i="1"/>
  <c r="A1457" i="1"/>
  <c r="A1346" i="1"/>
  <c r="A26" i="1"/>
  <c r="A95" i="1"/>
  <c r="A139" i="1"/>
  <c r="A85" i="1"/>
  <c r="A52" i="1"/>
  <c r="A168" i="1"/>
  <c r="A200" i="1"/>
  <c r="A199" i="1"/>
  <c r="A100" i="1"/>
  <c r="A24" i="1"/>
  <c r="A29" i="1"/>
  <c r="A11" i="1"/>
  <c r="A108" i="1"/>
  <c r="A113" i="1"/>
  <c r="A144" i="1"/>
  <c r="A25" i="1"/>
  <c r="A9" i="1"/>
  <c r="A67" i="1"/>
  <c r="A98" i="1"/>
  <c r="A188" i="1"/>
  <c r="A187" i="1"/>
  <c r="A19" i="1"/>
  <c r="A90" i="1"/>
  <c r="A34" i="1"/>
  <c r="A164" i="1"/>
  <c r="A1889" i="1"/>
  <c r="A1761" i="1"/>
  <c r="A1633" i="1"/>
  <c r="A1569" i="1"/>
  <c r="A1440" i="1"/>
  <c r="A1896" i="1"/>
  <c r="A1768" i="1"/>
  <c r="A1640" i="1"/>
  <c r="A151" i="1"/>
  <c r="A130" i="1"/>
  <c r="A161" i="1"/>
  <c r="A10" i="1"/>
  <c r="A77" i="1"/>
  <c r="A166" i="1"/>
  <c r="A125" i="1"/>
  <c r="A185" i="1"/>
  <c r="A62" i="1"/>
  <c r="A181" i="1"/>
  <c r="A123" i="1"/>
  <c r="A49" i="1"/>
  <c r="A12" i="1"/>
  <c r="A50" i="1"/>
  <c r="A127" i="1"/>
  <c r="A61" i="1"/>
  <c r="A32" i="1"/>
  <c r="A74" i="1"/>
  <c r="A37" i="1"/>
  <c r="A198" i="1"/>
  <c r="A169" i="1"/>
  <c r="A22" i="1"/>
  <c r="A53" i="1"/>
  <c r="A138" i="1"/>
  <c r="A1881" i="1"/>
  <c r="A1817" i="1"/>
  <c r="A1753" i="1"/>
  <c r="A1689" i="1"/>
  <c r="A1625" i="1"/>
  <c r="A1561" i="1"/>
  <c r="A1497" i="1"/>
  <c r="A1426" i="1"/>
  <c r="A1298" i="1"/>
  <c r="A1888" i="1"/>
  <c r="A1824" i="1"/>
  <c r="A1760" i="1"/>
  <c r="A1696" i="1"/>
  <c r="A1632" i="1"/>
  <c r="A1568" i="1"/>
  <c r="A1504" i="1"/>
  <c r="A1437" i="1"/>
  <c r="A1309" i="1"/>
  <c r="A1895" i="1"/>
  <c r="A1831" i="1"/>
  <c r="A1767" i="1"/>
  <c r="A1703" i="1"/>
  <c r="A1639" i="1"/>
  <c r="A1575" i="1"/>
  <c r="A1511" i="1"/>
  <c r="A1447" i="1"/>
  <c r="A1324" i="1"/>
  <c r="A1181" i="1"/>
  <c r="A1838" i="1"/>
  <c r="A1774" i="1"/>
  <c r="A1710" i="1"/>
  <c r="A1646" i="1"/>
  <c r="A1582" i="1"/>
  <c r="A1518" i="1"/>
  <c r="A1454" i="1"/>
  <c r="A1339" i="1"/>
  <c r="A1210" i="1"/>
  <c r="A1853" i="1"/>
  <c r="A1789" i="1"/>
  <c r="A1725" i="1"/>
  <c r="A1661" i="1"/>
  <c r="A1597" i="1"/>
  <c r="A1533" i="1"/>
  <c r="A1469" i="1"/>
  <c r="A1370" i="1"/>
  <c r="A1242" i="1"/>
  <c r="A1868" i="1"/>
  <c r="A1804" i="1"/>
  <c r="A1740" i="1"/>
  <c r="A1676" i="1"/>
  <c r="A1612" i="1"/>
  <c r="A1548" i="1"/>
  <c r="A1484" i="1"/>
  <c r="A1397" i="1"/>
  <c r="A1269" i="1"/>
  <c r="A1883" i="1"/>
  <c r="A1819" i="1"/>
  <c r="A1755" i="1"/>
  <c r="A1691" i="1"/>
  <c r="A1627" i="1"/>
  <c r="A1604" i="1"/>
  <c r="A1540" i="1"/>
  <c r="A1349" i="1"/>
  <c r="A1221" i="1"/>
  <c r="A762" i="1"/>
  <c r="A1202" i="1"/>
  <c r="A1138" i="1"/>
  <c r="A1074" i="1"/>
  <c r="A1010" i="1"/>
  <c r="A946" i="1"/>
  <c r="A882" i="1"/>
  <c r="A760" i="1"/>
  <c r="A1441" i="1"/>
  <c r="A1377" i="1"/>
  <c r="A1313" i="1"/>
  <c r="A1249" i="1"/>
  <c r="A1185" i="1"/>
  <c r="A1121" i="1"/>
  <c r="A1057" i="1"/>
  <c r="A993" i="1"/>
  <c r="A929" i="1"/>
  <c r="A855" i="1"/>
  <c r="A727" i="1"/>
  <c r="A1416" i="1"/>
  <c r="A1352" i="1"/>
  <c r="A1288" i="1"/>
  <c r="A1224" i="1"/>
  <c r="A1160" i="1"/>
  <c r="A1096" i="1"/>
  <c r="A1032" i="1"/>
  <c r="A968" i="1"/>
  <c r="A904" i="1"/>
  <c r="A805" i="1"/>
  <c r="A677" i="1"/>
  <c r="A1399" i="1"/>
  <c r="A1335" i="1"/>
  <c r="A1271" i="1"/>
  <c r="A1207" i="1"/>
  <c r="A1143" i="1"/>
  <c r="A1079" i="1"/>
  <c r="A1015" i="1"/>
  <c r="A951" i="1"/>
  <c r="A887" i="1"/>
  <c r="A770" i="1"/>
  <c r="A618" i="1"/>
  <c r="A592" i="1"/>
  <c r="A528" i="1"/>
  <c r="A464" i="1"/>
  <c r="A400" i="1"/>
  <c r="A336" i="1"/>
  <c r="A272" i="1"/>
  <c r="A208" i="1"/>
  <c r="A591" i="1"/>
  <c r="A527" i="1"/>
  <c r="A463" i="1"/>
  <c r="A399" i="1"/>
  <c r="A335" i="1"/>
  <c r="A271" i="1"/>
  <c r="A207" i="1"/>
  <c r="A806" i="1"/>
  <c r="A1848" i="1"/>
  <c r="A1784" i="1"/>
  <c r="A1720" i="1"/>
  <c r="A1656" i="1"/>
  <c r="A1592" i="1"/>
  <c r="A1528" i="1"/>
  <c r="A1464" i="1"/>
  <c r="A1357" i="1"/>
  <c r="A1229" i="1"/>
  <c r="A1855" i="1"/>
  <c r="A1791" i="1"/>
  <c r="A1727" i="1"/>
  <c r="A1663" i="1"/>
  <c r="A1599" i="1"/>
  <c r="A1535" i="1"/>
  <c r="A1471" i="1"/>
  <c r="A1372" i="1"/>
  <c r="A1244" i="1"/>
  <c r="A1862" i="1"/>
  <c r="A1798" i="1"/>
  <c r="A1734" i="1"/>
  <c r="A1670" i="1"/>
  <c r="A1606" i="1"/>
  <c r="A1542" i="1"/>
  <c r="A1478" i="1"/>
  <c r="A1387" i="1"/>
  <c r="A1259" i="1"/>
  <c r="A1877" i="1"/>
  <c r="A1813" i="1"/>
  <c r="A1749" i="1"/>
  <c r="A1685" i="1"/>
  <c r="A1621" i="1"/>
  <c r="A1557" i="1"/>
  <c r="A1493" i="1"/>
  <c r="A1418" i="1"/>
  <c r="A1290" i="1"/>
  <c r="A1892" i="1"/>
  <c r="A1828" i="1"/>
  <c r="A1764" i="1"/>
  <c r="A1700" i="1"/>
  <c r="A1636" i="1"/>
  <c r="A1572" i="1"/>
  <c r="A1508" i="1"/>
  <c r="A1444" i="1"/>
  <c r="A1317" i="1"/>
  <c r="A1171" i="1"/>
  <c r="A1843" i="1"/>
  <c r="A1779" i="1"/>
  <c r="A1715" i="1"/>
  <c r="A1651" i="1"/>
  <c r="A1587" i="1"/>
  <c r="A1523" i="1"/>
  <c r="A1459" i="1"/>
  <c r="A1348" i="1"/>
  <c r="A1220" i="1"/>
  <c r="A1858" i="1"/>
  <c r="A1794" i="1"/>
  <c r="A1730" i="1"/>
  <c r="A1666" i="1"/>
  <c r="A1602" i="1"/>
  <c r="A1538" i="1"/>
  <c r="A1474" i="1"/>
  <c r="A1379" i="1"/>
  <c r="A1251" i="1"/>
  <c r="A1414" i="1"/>
  <c r="A1350" i="1"/>
  <c r="A1286" i="1"/>
  <c r="A1222" i="1"/>
  <c r="A1158" i="1"/>
  <c r="A1094" i="1"/>
  <c r="A1030" i="1"/>
  <c r="A966" i="1"/>
  <c r="A902" i="1"/>
  <c r="A800" i="1"/>
  <c r="A672" i="1"/>
  <c r="A1101" i="1"/>
  <c r="A1037" i="1"/>
  <c r="A973" i="1"/>
  <c r="A909" i="1"/>
  <c r="A815" i="1"/>
  <c r="A687" i="1"/>
  <c r="A1172" i="1"/>
  <c r="A1108" i="1"/>
  <c r="A1044" i="1"/>
  <c r="A980" i="1"/>
  <c r="A916" i="1"/>
  <c r="A829" i="1"/>
  <c r="A701" i="1"/>
  <c r="A1131" i="1"/>
  <c r="A1067" i="1"/>
  <c r="A1003" i="1"/>
  <c r="A939" i="1"/>
  <c r="A872" i="1"/>
  <c r="A746" i="1"/>
  <c r="A1194" i="1"/>
  <c r="A1130" i="1"/>
  <c r="A1066" i="1"/>
  <c r="A1002" i="1"/>
  <c r="A938" i="1"/>
  <c r="A871" i="1"/>
  <c r="A744" i="1"/>
  <c r="A1433" i="1"/>
  <c r="A1369" i="1"/>
  <c r="A1305" i="1"/>
  <c r="A1241" i="1"/>
  <c r="A1177" i="1"/>
  <c r="A1113" i="1"/>
  <c r="A1049" i="1"/>
  <c r="A985" i="1"/>
  <c r="A921" i="1"/>
  <c r="A839" i="1"/>
  <c r="A711" i="1"/>
  <c r="A1408" i="1"/>
  <c r="A1344" i="1"/>
  <c r="A1280" i="1"/>
  <c r="A1216" i="1"/>
  <c r="A1152" i="1"/>
  <c r="A1088" i="1"/>
  <c r="A1024" i="1"/>
  <c r="A960" i="1"/>
  <c r="A896" i="1"/>
  <c r="A789" i="1"/>
  <c r="A661" i="1"/>
  <c r="A1391" i="1"/>
  <c r="A1327" i="1"/>
  <c r="A1263" i="1"/>
  <c r="A1199" i="1"/>
  <c r="A1135" i="1"/>
  <c r="A1071" i="1"/>
  <c r="A1007" i="1"/>
  <c r="A943" i="1"/>
  <c r="A879" i="1"/>
  <c r="A754" i="1"/>
  <c r="A648" i="1"/>
  <c r="A584" i="1"/>
  <c r="A520" i="1"/>
  <c r="A456" i="1"/>
  <c r="A392" i="1"/>
  <c r="A328" i="1"/>
  <c r="A264" i="1"/>
  <c r="A647" i="1"/>
  <c r="A583" i="1"/>
  <c r="A519" i="1"/>
  <c r="A455" i="1"/>
  <c r="A391" i="1"/>
  <c r="A327" i="1"/>
  <c r="A263" i="1"/>
  <c r="A862" i="1"/>
  <c r="A45" i="1"/>
  <c r="A7" i="1"/>
  <c r="A136" i="1"/>
  <c r="A194" i="1"/>
  <c r="A189" i="1"/>
  <c r="A84" i="1"/>
  <c r="A94" i="1"/>
  <c r="A141" i="1"/>
  <c r="A96" i="1"/>
  <c r="A33" i="1"/>
  <c r="A196" i="1"/>
  <c r="A1897" i="1"/>
  <c r="A1833" i="1"/>
  <c r="A1769" i="1"/>
  <c r="A1705" i="1"/>
  <c r="A1641" i="1"/>
  <c r="A1577" i="1"/>
  <c r="A1513" i="1"/>
  <c r="A1449" i="1"/>
  <c r="A1330" i="1"/>
  <c r="A1189" i="1"/>
  <c r="A1840" i="1"/>
  <c r="A1776" i="1"/>
  <c r="A1712" i="1"/>
  <c r="A1648" i="1"/>
  <c r="A1584" i="1"/>
  <c r="A1520" i="1"/>
  <c r="A1456" i="1"/>
  <c r="A1341" i="1"/>
  <c r="A1213" i="1"/>
  <c r="A1847" i="1"/>
  <c r="A1783" i="1"/>
  <c r="A1719" i="1"/>
  <c r="A1655" i="1"/>
  <c r="A1591" i="1"/>
  <c r="A1527" i="1"/>
  <c r="A1463" i="1"/>
  <c r="A1356" i="1"/>
  <c r="A1228" i="1"/>
  <c r="A1854" i="1"/>
  <c r="A1790" i="1"/>
  <c r="A1726" i="1"/>
  <c r="A1662" i="1"/>
  <c r="A1598" i="1"/>
  <c r="A1534" i="1"/>
  <c r="A1470" i="1"/>
  <c r="A1371" i="1"/>
  <c r="A1243" i="1"/>
  <c r="A1869" i="1"/>
  <c r="A1805" i="1"/>
  <c r="A1741" i="1"/>
  <c r="A1677" i="1"/>
  <c r="A1613" i="1"/>
  <c r="A1549" i="1"/>
  <c r="A1485" i="1"/>
  <c r="A1402" i="1"/>
  <c r="A1274" i="1"/>
  <c r="A1884" i="1"/>
  <c r="A1820" i="1"/>
  <c r="A1756" i="1"/>
  <c r="A1692" i="1"/>
  <c r="A1628" i="1"/>
  <c r="A1564" i="1"/>
  <c r="A1500" i="1"/>
  <c r="A1429" i="1"/>
  <c r="A1301" i="1"/>
  <c r="A1899" i="1"/>
  <c r="A1835" i="1"/>
  <c r="A1771" i="1"/>
  <c r="A1707" i="1"/>
  <c r="A1643" i="1"/>
  <c r="A1579" i="1"/>
  <c r="A1515" i="1"/>
  <c r="A1451" i="1"/>
  <c r="A1332" i="1"/>
  <c r="A1197" i="1"/>
  <c r="A1850" i="1"/>
  <c r="A1786" i="1"/>
  <c r="A1722" i="1"/>
  <c r="A1658" i="1"/>
  <c r="A1594" i="1"/>
  <c r="A1530" i="1"/>
  <c r="A1466" i="1"/>
  <c r="A1363" i="1"/>
  <c r="A1235" i="1"/>
  <c r="A1406" i="1"/>
  <c r="A1342" i="1"/>
  <c r="A1278" i="1"/>
  <c r="A1214" i="1"/>
  <c r="A1150" i="1"/>
  <c r="A1086" i="1"/>
  <c r="A1022" i="1"/>
  <c r="A958" i="1"/>
  <c r="A894" i="1"/>
  <c r="A784" i="1"/>
  <c r="A656" i="1"/>
  <c r="A1093" i="1"/>
  <c r="A1029" i="1"/>
  <c r="A965" i="1"/>
  <c r="A901" i="1"/>
  <c r="A799" i="1"/>
  <c r="A671" i="1"/>
  <c r="A1164" i="1"/>
  <c r="A1100" i="1"/>
  <c r="A1036" i="1"/>
  <c r="A972" i="1"/>
  <c r="A908" i="1"/>
  <c r="A813" i="1"/>
  <c r="A685" i="1"/>
  <c r="A1123" i="1"/>
  <c r="A1059" i="1"/>
  <c r="A995" i="1"/>
  <c r="A931" i="1"/>
  <c r="A858" i="1"/>
  <c r="A730" i="1"/>
  <c r="A1186" i="1"/>
  <c r="A1122" i="1"/>
  <c r="A1058" i="1"/>
  <c r="A994" i="1"/>
  <c r="A930" i="1"/>
  <c r="A856" i="1"/>
  <c r="A728" i="1"/>
  <c r="A1425" i="1"/>
  <c r="A1361" i="1"/>
  <c r="A1297" i="1"/>
  <c r="A1233" i="1"/>
  <c r="A1169" i="1"/>
  <c r="A1105" i="1"/>
  <c r="A1041" i="1"/>
  <c r="A977" i="1"/>
  <c r="A913" i="1"/>
  <c r="A823" i="1"/>
  <c r="A695" i="1"/>
  <c r="A1400" i="1"/>
  <c r="A1336" i="1"/>
  <c r="A1272" i="1"/>
  <c r="A1208" i="1"/>
  <c r="A1144" i="1"/>
  <c r="A1080" i="1"/>
  <c r="A1016" i="1"/>
  <c r="A952" i="1"/>
  <c r="A888" i="1"/>
  <c r="A773" i="1"/>
  <c r="A626" i="1"/>
  <c r="A1383" i="1"/>
  <c r="A1319" i="1"/>
  <c r="A1255" i="1"/>
  <c r="A1191" i="1"/>
  <c r="A1127" i="1"/>
  <c r="A1063" i="1"/>
  <c r="A999" i="1"/>
  <c r="A935" i="1"/>
  <c r="A866" i="1"/>
  <c r="A738" i="1"/>
  <c r="A640" i="1"/>
  <c r="A576" i="1"/>
  <c r="A512" i="1"/>
  <c r="A448" i="1"/>
  <c r="A384" i="1"/>
  <c r="A320" i="1"/>
  <c r="A256" i="1"/>
  <c r="A639" i="1"/>
  <c r="A575" i="1"/>
  <c r="A511" i="1"/>
  <c r="A447" i="1"/>
  <c r="A383" i="1"/>
  <c r="A319" i="1"/>
  <c r="A255" i="1"/>
  <c r="A854" i="1"/>
  <c r="A790" i="1"/>
  <c r="A79" i="1"/>
  <c r="A192" i="1"/>
  <c r="A69" i="1"/>
  <c r="A121" i="1"/>
  <c r="A131" i="1"/>
  <c r="A66" i="1"/>
  <c r="A102" i="1"/>
  <c r="A23" i="1"/>
  <c r="A154" i="1"/>
  <c r="A91" i="1"/>
  <c r="A54" i="1"/>
  <c r="A193" i="1"/>
  <c r="A1825" i="1"/>
  <c r="A1697" i="1"/>
  <c r="A1505" i="1"/>
  <c r="A1314" i="1"/>
  <c r="A1832" i="1"/>
  <c r="A1704" i="1"/>
  <c r="A1576" i="1"/>
  <c r="A1512" i="1"/>
  <c r="A1448" i="1"/>
  <c r="A1325" i="1"/>
  <c r="A1187" i="1"/>
  <c r="A1839" i="1"/>
  <c r="A1775" i="1"/>
  <c r="A1711" i="1"/>
  <c r="A1647" i="1"/>
  <c r="A1583" i="1"/>
  <c r="A1519" i="1"/>
  <c r="A1455" i="1"/>
  <c r="A1340" i="1"/>
  <c r="A1211" i="1"/>
  <c r="A1846" i="1"/>
  <c r="A1782" i="1"/>
  <c r="A1718" i="1"/>
  <c r="A1654" i="1"/>
  <c r="A1590" i="1"/>
  <c r="A1526" i="1"/>
  <c r="A1462" i="1"/>
  <c r="A1355" i="1"/>
  <c r="A1227" i="1"/>
  <c r="A1861" i="1"/>
  <c r="A1797" i="1"/>
  <c r="A1733" i="1"/>
  <c r="A1669" i="1"/>
  <c r="A1605" i="1"/>
  <c r="A1541" i="1"/>
  <c r="A1477" i="1"/>
  <c r="A1386" i="1"/>
  <c r="A1258" i="1"/>
  <c r="A1876" i="1"/>
  <c r="A1812" i="1"/>
  <c r="A1748" i="1"/>
  <c r="A1684" i="1"/>
  <c r="A1620" i="1"/>
  <c r="A1556" i="1"/>
  <c r="A1492" i="1"/>
  <c r="A1413" i="1"/>
  <c r="A1285" i="1"/>
  <c r="A1891" i="1"/>
  <c r="A1827" i="1"/>
  <c r="A1763" i="1"/>
  <c r="A1699" i="1"/>
  <c r="A1635" i="1"/>
  <c r="A1571" i="1"/>
  <c r="A1507" i="1"/>
  <c r="A1443" i="1"/>
  <c r="A1316" i="1"/>
  <c r="A1165" i="1"/>
  <c r="A1842" i="1"/>
  <c r="A1778" i="1"/>
  <c r="A1714" i="1"/>
  <c r="A1650" i="1"/>
  <c r="A1586" i="1"/>
  <c r="A1522" i="1"/>
  <c r="A1458" i="1"/>
  <c r="A1347" i="1"/>
  <c r="A1219" i="1"/>
  <c r="A1398" i="1"/>
  <c r="A1334" i="1"/>
  <c r="A1270" i="1"/>
  <c r="A1206" i="1"/>
  <c r="A1142" i="1"/>
  <c r="A1078" i="1"/>
  <c r="A1014" i="1"/>
  <c r="A950" i="1"/>
  <c r="A886" i="1"/>
  <c r="A768" i="1"/>
  <c r="A1149" i="1"/>
  <c r="A1085" i="1"/>
  <c r="A1021" i="1"/>
  <c r="A957" i="1"/>
  <c r="A893" i="1"/>
  <c r="A783" i="1"/>
  <c r="A655" i="1"/>
  <c r="A1156" i="1"/>
  <c r="A1092" i="1"/>
  <c r="A1028" i="1"/>
  <c r="A964" i="1"/>
  <c r="A900" i="1"/>
  <c r="A797" i="1"/>
  <c r="A669" i="1"/>
  <c r="A1115" i="1"/>
  <c r="A1051" i="1"/>
  <c r="A987" i="1"/>
  <c r="A923" i="1"/>
  <c r="A842" i="1"/>
  <c r="A714" i="1"/>
  <c r="A1178" i="1"/>
  <c r="A1114" i="1"/>
  <c r="A1050" i="1"/>
  <c r="A986" i="1"/>
  <c r="A922" i="1"/>
  <c r="A840" i="1"/>
  <c r="A712" i="1"/>
  <c r="A1417" i="1"/>
  <c r="A1353" i="1"/>
  <c r="A1289" i="1"/>
  <c r="A1225" i="1"/>
  <c r="A1161" i="1"/>
  <c r="A1097" i="1"/>
  <c r="A1033" i="1"/>
  <c r="A969" i="1"/>
  <c r="A905" i="1"/>
  <c r="A807" i="1"/>
  <c r="A679" i="1"/>
  <c r="A1392" i="1"/>
  <c r="A1328" i="1"/>
  <c r="A1264" i="1"/>
  <c r="A1200" i="1"/>
  <c r="A1136" i="1"/>
  <c r="A1072" i="1"/>
  <c r="A1008" i="1"/>
  <c r="A944" i="1"/>
  <c r="A880" i="1"/>
  <c r="A757" i="1"/>
  <c r="A1439" i="1"/>
  <c r="A1375" i="1"/>
  <c r="A1311" i="1"/>
  <c r="A1247" i="1"/>
  <c r="A1183" i="1"/>
  <c r="A1119" i="1"/>
  <c r="A1055" i="1"/>
  <c r="A991" i="1"/>
  <c r="A927" i="1"/>
  <c r="A850" i="1"/>
  <c r="A722" i="1"/>
  <c r="A632" i="1"/>
  <c r="A568" i="1"/>
  <c r="A504" i="1"/>
  <c r="A440" i="1"/>
  <c r="A376" i="1"/>
  <c r="A312" i="1"/>
  <c r="A248" i="1"/>
  <c r="A631" i="1"/>
  <c r="A567" i="1"/>
  <c r="A503" i="1"/>
  <c r="A439" i="1"/>
  <c r="A375" i="1"/>
  <c r="A311" i="1"/>
  <c r="A247" i="1"/>
  <c r="A846" i="1"/>
  <c r="A1859" i="1"/>
  <c r="A1795" i="1"/>
  <c r="A1731" i="1"/>
  <c r="A1667" i="1"/>
  <c r="A1603" i="1"/>
  <c r="A1539" i="1"/>
  <c r="A1475" i="1"/>
  <c r="A1380" i="1"/>
  <c r="A1252" i="1"/>
  <c r="A1874" i="1"/>
  <c r="A1810" i="1"/>
  <c r="A1746" i="1"/>
  <c r="A1682" i="1"/>
  <c r="A1618" i="1"/>
  <c r="A1554" i="1"/>
  <c r="A1490" i="1"/>
  <c r="A1411" i="1"/>
  <c r="A1283" i="1"/>
  <c r="A1430" i="1"/>
  <c r="A1366" i="1"/>
  <c r="A1302" i="1"/>
  <c r="A1238" i="1"/>
  <c r="A1174" i="1"/>
  <c r="A1110" i="1"/>
  <c r="A1046" i="1"/>
  <c r="A982" i="1"/>
  <c r="A918" i="1"/>
  <c r="A832" i="1"/>
  <c r="A704" i="1"/>
  <c r="A1117" i="1"/>
  <c r="A1053" i="1"/>
  <c r="A989" i="1"/>
  <c r="A925" i="1"/>
  <c r="A847" i="1"/>
  <c r="A719" i="1"/>
  <c r="A1188" i="1"/>
  <c r="A1124" i="1"/>
  <c r="A1060" i="1"/>
  <c r="A996" i="1"/>
  <c r="A932" i="1"/>
  <c r="A861" i="1"/>
  <c r="A733" i="1"/>
  <c r="A1147" i="1"/>
  <c r="A1083" i="1"/>
  <c r="A1019" i="1"/>
  <c r="A955" i="1"/>
  <c r="A891" i="1"/>
  <c r="A778" i="1"/>
  <c r="A650" i="1"/>
  <c r="A1146" i="1"/>
  <c r="A1082" i="1"/>
  <c r="A1018" i="1"/>
  <c r="A954" i="1"/>
  <c r="A890" i="1"/>
  <c r="A776" i="1"/>
  <c r="A642" i="1"/>
  <c r="A1385" i="1"/>
  <c r="A1321" i="1"/>
  <c r="A1257" i="1"/>
  <c r="A1193" i="1"/>
  <c r="A1129" i="1"/>
  <c r="A1065" i="1"/>
  <c r="A1001" i="1"/>
  <c r="A937" i="1"/>
  <c r="A870" i="1"/>
  <c r="A743" i="1"/>
  <c r="A1424" i="1"/>
  <c r="A1360" i="1"/>
  <c r="A1296" i="1"/>
  <c r="A1232" i="1"/>
  <c r="A1168" i="1"/>
  <c r="A1104" i="1"/>
  <c r="A1040" i="1"/>
  <c r="A976" i="1"/>
  <c r="A912" i="1"/>
  <c r="A821" i="1"/>
  <c r="A693" i="1"/>
  <c r="A1407" i="1"/>
  <c r="A1343" i="1"/>
  <c r="A1279" i="1"/>
  <c r="A1215" i="1"/>
  <c r="A1151" i="1"/>
  <c r="A1087" i="1"/>
  <c r="A1023" i="1"/>
  <c r="A959" i="1"/>
  <c r="A895" i="1"/>
  <c r="A786" i="1"/>
  <c r="A658" i="1"/>
  <c r="A600" i="1"/>
  <c r="A536" i="1"/>
  <c r="A472" i="1"/>
  <c r="A408" i="1"/>
  <c r="A344" i="1"/>
  <c r="A280" i="1"/>
  <c r="A216" i="1"/>
  <c r="A599" i="1"/>
  <c r="A535" i="1"/>
  <c r="A471" i="1"/>
  <c r="A407" i="1"/>
  <c r="A343" i="1"/>
  <c r="A279" i="1"/>
  <c r="A215" i="1"/>
  <c r="A814" i="1"/>
  <c r="A750" i="1"/>
  <c r="A686" i="1"/>
  <c r="A622" i="1"/>
  <c r="A558" i="1"/>
  <c r="A494" i="1"/>
  <c r="A430" i="1"/>
  <c r="A366" i="1"/>
  <c r="A302" i="1"/>
  <c r="A238" i="1"/>
  <c r="A621" i="1"/>
  <c r="A557" i="1"/>
  <c r="A493" i="1"/>
  <c r="A429" i="1"/>
  <c r="A365" i="1"/>
  <c r="A301" i="1"/>
  <c r="A237" i="1"/>
  <c r="A852" i="1"/>
  <c r="A788" i="1"/>
  <c r="A724" i="1"/>
  <c r="A660" i="1"/>
  <c r="A596" i="1"/>
  <c r="A532" i="1"/>
  <c r="A468" i="1"/>
  <c r="A404" i="1"/>
  <c r="A340" i="1"/>
  <c r="A276" i="1"/>
  <c r="A212" i="1"/>
  <c r="A827" i="1"/>
  <c r="A763" i="1"/>
  <c r="A699" i="1"/>
  <c r="A635" i="1"/>
  <c r="A571" i="1"/>
  <c r="A507" i="1"/>
  <c r="A443" i="1"/>
  <c r="A379" i="1"/>
  <c r="A315" i="1"/>
  <c r="A251" i="1"/>
  <c r="A602" i="1"/>
  <c r="A538" i="1"/>
  <c r="A474" i="1"/>
  <c r="A410" i="1"/>
  <c r="A346" i="1"/>
  <c r="A282" i="1"/>
  <c r="A218" i="1"/>
  <c r="A833" i="1"/>
  <c r="A769" i="1"/>
  <c r="A705" i="1"/>
  <c r="A641" i="1"/>
  <c r="A577" i="1"/>
  <c r="A513" i="1"/>
  <c r="A449" i="1"/>
  <c r="A385" i="1"/>
  <c r="A321" i="1"/>
  <c r="A257" i="1"/>
  <c r="A41" i="1"/>
  <c r="A742" i="1"/>
  <c r="A678" i="1"/>
  <c r="A614" i="1"/>
  <c r="A550" i="1"/>
  <c r="A486" i="1"/>
  <c r="A422" i="1"/>
  <c r="A358" i="1"/>
  <c r="A294" i="1"/>
  <c r="A230" i="1"/>
  <c r="A613" i="1"/>
  <c r="A549" i="1"/>
  <c r="A485" i="1"/>
  <c r="A421" i="1"/>
  <c r="A357" i="1"/>
  <c r="A293" i="1"/>
  <c r="A229" i="1"/>
  <c r="A844" i="1"/>
  <c r="A780" i="1"/>
  <c r="A716" i="1"/>
  <c r="A652" i="1"/>
  <c r="A588" i="1"/>
  <c r="A524" i="1"/>
  <c r="A460" i="1"/>
  <c r="A396" i="1"/>
  <c r="A332" i="1"/>
  <c r="A268" i="1"/>
  <c r="A204" i="1"/>
  <c r="A819" i="1"/>
  <c r="A755" i="1"/>
  <c r="A691" i="1"/>
  <c r="A627" i="1"/>
  <c r="A563" i="1"/>
  <c r="A499" i="1"/>
  <c r="A435" i="1"/>
  <c r="A371" i="1"/>
  <c r="A307" i="1"/>
  <c r="A243" i="1"/>
  <c r="A594" i="1"/>
  <c r="A530" i="1"/>
  <c r="A466" i="1"/>
  <c r="A402" i="1"/>
  <c r="A338" i="1"/>
  <c r="A274" i="1"/>
  <c r="A210" i="1"/>
  <c r="A825" i="1"/>
  <c r="A761" i="1"/>
  <c r="A697" i="1"/>
  <c r="A633" i="1"/>
  <c r="A569" i="1"/>
  <c r="A505" i="1"/>
  <c r="A441" i="1"/>
  <c r="A377" i="1"/>
  <c r="A313" i="1"/>
  <c r="A249" i="1"/>
  <c r="A17" i="1"/>
  <c r="A798" i="1"/>
  <c r="A734" i="1"/>
  <c r="A670" i="1"/>
  <c r="A606" i="1"/>
  <c r="A542" i="1"/>
  <c r="A478" i="1"/>
  <c r="A414" i="1"/>
  <c r="A350" i="1"/>
  <c r="A286" i="1"/>
  <c r="A222" i="1"/>
  <c r="A605" i="1"/>
  <c r="A541" i="1"/>
  <c r="A477" i="1"/>
  <c r="A413" i="1"/>
  <c r="A349" i="1"/>
  <c r="A285" i="1"/>
  <c r="A221" i="1"/>
  <c r="A836" i="1"/>
  <c r="A772" i="1"/>
  <c r="A708" i="1"/>
  <c r="A644" i="1"/>
  <c r="A580" i="1"/>
  <c r="A516" i="1"/>
  <c r="A452" i="1"/>
  <c r="A388" i="1"/>
  <c r="A324" i="1"/>
  <c r="A260" i="1"/>
  <c r="A875" i="1"/>
  <c r="A811" i="1"/>
  <c r="A747" i="1"/>
  <c r="A683" i="1"/>
  <c r="A619" i="1"/>
  <c r="A555" i="1"/>
  <c r="A491" i="1"/>
  <c r="A427" i="1"/>
  <c r="A363" i="1"/>
  <c r="A299" i="1"/>
  <c r="A235" i="1"/>
  <c r="A586" i="1"/>
  <c r="A522" i="1"/>
  <c r="A458" i="1"/>
  <c r="A394" i="1"/>
  <c r="A330" i="1"/>
  <c r="A266" i="1"/>
  <c r="A202" i="1"/>
  <c r="A817" i="1"/>
  <c r="A753" i="1"/>
  <c r="A689" i="1"/>
  <c r="A625" i="1"/>
  <c r="A561" i="1"/>
  <c r="A497" i="1"/>
  <c r="A433" i="1"/>
  <c r="A369" i="1"/>
  <c r="A305" i="1"/>
  <c r="A241" i="1"/>
  <c r="A43" i="1"/>
  <c r="A726" i="1"/>
  <c r="A662" i="1"/>
  <c r="A598" i="1"/>
  <c r="A534" i="1"/>
  <c r="A470" i="1"/>
  <c r="A406" i="1"/>
  <c r="A342" i="1"/>
  <c r="A278" i="1"/>
  <c r="A214" i="1"/>
  <c r="A597" i="1"/>
  <c r="A533" i="1"/>
  <c r="A469" i="1"/>
  <c r="A405" i="1"/>
  <c r="A341" i="1"/>
  <c r="A277" i="1"/>
  <c r="A213" i="1"/>
  <c r="A828" i="1"/>
  <c r="A764" i="1"/>
  <c r="A700" i="1"/>
  <c r="A636" i="1"/>
  <c r="A572" i="1"/>
  <c r="A508" i="1"/>
  <c r="A444" i="1"/>
  <c r="A380" i="1"/>
  <c r="A316" i="1"/>
  <c r="A252" i="1"/>
  <c r="A867" i="1"/>
  <c r="A803" i="1"/>
  <c r="A739" i="1"/>
  <c r="A675" i="1"/>
  <c r="A611" i="1"/>
  <c r="A547" i="1"/>
  <c r="A483" i="1"/>
  <c r="A419" i="1"/>
  <c r="A355" i="1"/>
  <c r="A291" i="1"/>
  <c r="A227" i="1"/>
  <c r="A578" i="1"/>
  <c r="A514" i="1"/>
  <c r="A450" i="1"/>
  <c r="A386" i="1"/>
  <c r="A322" i="1"/>
  <c r="A258" i="1"/>
  <c r="A873" i="1"/>
  <c r="A809" i="1"/>
  <c r="A745" i="1"/>
  <c r="A681" i="1"/>
  <c r="A617" i="1"/>
  <c r="A553" i="1"/>
  <c r="A489" i="1"/>
  <c r="A425" i="1"/>
  <c r="A361" i="1"/>
  <c r="A297" i="1"/>
  <c r="A233" i="1"/>
  <c r="A152" i="1"/>
  <c r="A782" i="1"/>
  <c r="A718" i="1"/>
  <c r="A654" i="1"/>
  <c r="A590" i="1"/>
  <c r="A526" i="1"/>
  <c r="A462" i="1"/>
  <c r="A398" i="1"/>
  <c r="A334" i="1"/>
  <c r="A270" i="1"/>
  <c r="A206" i="1"/>
  <c r="A589" i="1"/>
  <c r="A525" i="1"/>
  <c r="A461" i="1"/>
  <c r="A397" i="1"/>
  <c r="A333" i="1"/>
  <c r="A269" i="1"/>
  <c r="A205" i="1"/>
  <c r="A820" i="1"/>
  <c r="A756" i="1"/>
  <c r="A692" i="1"/>
  <c r="A628" i="1"/>
  <c r="A564" i="1"/>
  <c r="A500" i="1"/>
  <c r="A436" i="1"/>
  <c r="A372" i="1"/>
  <c r="A308" i="1"/>
  <c r="A244" i="1"/>
  <c r="A859" i="1"/>
  <c r="A795" i="1"/>
  <c r="A731" i="1"/>
  <c r="A667" i="1"/>
  <c r="A603" i="1"/>
  <c r="A539" i="1"/>
  <c r="A475" i="1"/>
  <c r="A411" i="1"/>
  <c r="A347" i="1"/>
  <c r="A283" i="1"/>
  <c r="A219" i="1"/>
  <c r="A570" i="1"/>
  <c r="A506" i="1"/>
  <c r="A442" i="1"/>
  <c r="A378" i="1"/>
  <c r="A314" i="1"/>
  <c r="A250" i="1"/>
  <c r="A865" i="1"/>
  <c r="A801" i="1"/>
  <c r="A737" i="1"/>
  <c r="A673" i="1"/>
  <c r="A609" i="1"/>
  <c r="A545" i="1"/>
  <c r="A481" i="1"/>
  <c r="A417" i="1"/>
  <c r="A353" i="1"/>
  <c r="A289" i="1"/>
  <c r="A225" i="1"/>
  <c r="A60" i="1"/>
  <c r="A1563" i="1"/>
  <c r="A1499" i="1"/>
  <c r="A1428" i="1"/>
  <c r="A1300" i="1"/>
  <c r="A1898" i="1"/>
  <c r="A1834" i="1"/>
  <c r="A1770" i="1"/>
  <c r="A1706" i="1"/>
  <c r="A1642" i="1"/>
  <c r="A1578" i="1"/>
  <c r="A1514" i="1"/>
  <c r="A1450" i="1"/>
  <c r="A1331" i="1"/>
  <c r="A1195" i="1"/>
  <c r="A1390" i="1"/>
  <c r="A1326" i="1"/>
  <c r="A1262" i="1"/>
  <c r="A1198" i="1"/>
  <c r="A1134" i="1"/>
  <c r="A1070" i="1"/>
  <c r="A1006" i="1"/>
  <c r="A942" i="1"/>
  <c r="A878" i="1"/>
  <c r="A752" i="1"/>
  <c r="A1141" i="1"/>
  <c r="A1077" i="1"/>
  <c r="A1013" i="1"/>
  <c r="A949" i="1"/>
  <c r="A885" i="1"/>
  <c r="A767" i="1"/>
  <c r="A1212" i="1"/>
  <c r="A1148" i="1"/>
  <c r="A1084" i="1"/>
  <c r="A1020" i="1"/>
  <c r="A956" i="1"/>
  <c r="A892" i="1"/>
  <c r="A781" i="1"/>
  <c r="A653" i="1"/>
  <c r="A1107" i="1"/>
  <c r="A1043" i="1"/>
  <c r="A979" i="1"/>
  <c r="A915" i="1"/>
  <c r="A826" i="1"/>
  <c r="A698" i="1"/>
  <c r="A1170" i="1"/>
  <c r="A1106" i="1"/>
  <c r="A1042" i="1"/>
  <c r="A978" i="1"/>
  <c r="A914" i="1"/>
  <c r="A824" i="1"/>
  <c r="A696" i="1"/>
  <c r="A1409" i="1"/>
  <c r="A1345" i="1"/>
  <c r="A1281" i="1"/>
  <c r="A1217" i="1"/>
  <c r="A1153" i="1"/>
  <c r="A1089" i="1"/>
  <c r="A1025" i="1"/>
  <c r="A961" i="1"/>
  <c r="A897" i="1"/>
  <c r="A791" i="1"/>
  <c r="A663" i="1"/>
  <c r="A1384" i="1"/>
  <c r="A1320" i="1"/>
  <c r="A1256" i="1"/>
  <c r="A1192" i="1"/>
  <c r="A1128" i="1"/>
  <c r="A1064" i="1"/>
  <c r="A1000" i="1"/>
  <c r="A936" i="1"/>
  <c r="A869" i="1"/>
  <c r="A741" i="1"/>
  <c r="A1431" i="1"/>
  <c r="A1367" i="1"/>
  <c r="A1303" i="1"/>
  <c r="A1239" i="1"/>
  <c r="A1175" i="1"/>
  <c r="A1111" i="1"/>
  <c r="A1047" i="1"/>
  <c r="A983" i="1"/>
  <c r="A919" i="1"/>
  <c r="A834" i="1"/>
  <c r="A706" i="1"/>
  <c r="A624" i="1"/>
  <c r="A560" i="1"/>
  <c r="A496" i="1"/>
  <c r="A432" i="1"/>
  <c r="A368" i="1"/>
  <c r="A304" i="1"/>
  <c r="A240" i="1"/>
  <c r="A623" i="1"/>
  <c r="A559" i="1"/>
  <c r="A495" i="1"/>
  <c r="A431" i="1"/>
  <c r="A367" i="1"/>
  <c r="A303" i="1"/>
  <c r="A239" i="1"/>
  <c r="A838" i="1"/>
  <c r="A774" i="1"/>
  <c r="A710" i="1"/>
  <c r="A646" i="1"/>
  <c r="A582" i="1"/>
  <c r="A518" i="1"/>
  <c r="A454" i="1"/>
  <c r="A390" i="1"/>
  <c r="A326" i="1"/>
  <c r="A262" i="1"/>
  <c r="A645" i="1"/>
  <c r="A581" i="1"/>
  <c r="A517" i="1"/>
  <c r="A453" i="1"/>
  <c r="A389" i="1"/>
  <c r="A325" i="1"/>
  <c r="A261" i="1"/>
  <c r="A876" i="1"/>
  <c r="A812" i="1"/>
  <c r="A748" i="1"/>
  <c r="A684" i="1"/>
  <c r="A620" i="1"/>
  <c r="A556" i="1"/>
  <c r="A492" i="1"/>
  <c r="A428" i="1"/>
  <c r="A364" i="1"/>
  <c r="A300" i="1"/>
  <c r="A236" i="1"/>
  <c r="A851" i="1"/>
  <c r="A787" i="1"/>
  <c r="A723" i="1"/>
  <c r="A659" i="1"/>
  <c r="A595" i="1"/>
  <c r="A531" i="1"/>
  <c r="A467" i="1"/>
  <c r="A403" i="1"/>
  <c r="A339" i="1"/>
  <c r="A275" i="1"/>
  <c r="A211" i="1"/>
  <c r="A562" i="1"/>
  <c r="A498" i="1"/>
  <c r="A434" i="1"/>
  <c r="A370" i="1"/>
  <c r="A306" i="1"/>
  <c r="A242" i="1"/>
  <c r="A857" i="1"/>
  <c r="A793" i="1"/>
  <c r="A729" i="1"/>
  <c r="A665" i="1"/>
  <c r="A601" i="1"/>
  <c r="A537" i="1"/>
  <c r="A473" i="1"/>
  <c r="A409" i="1"/>
  <c r="A345" i="1"/>
  <c r="A281" i="1"/>
  <c r="A217" i="1"/>
  <c r="A1476" i="1"/>
  <c r="A1381" i="1"/>
  <c r="A1253" i="1"/>
  <c r="A1875" i="1"/>
  <c r="A1811" i="1"/>
  <c r="A1747" i="1"/>
  <c r="A1683" i="1"/>
  <c r="A1619" i="1"/>
  <c r="A1555" i="1"/>
  <c r="A1491" i="1"/>
  <c r="A1412" i="1"/>
  <c r="A1284" i="1"/>
  <c r="A1890" i="1"/>
  <c r="A1826" i="1"/>
  <c r="A1762" i="1"/>
  <c r="A1698" i="1"/>
  <c r="A1634" i="1"/>
  <c r="A1570" i="1"/>
  <c r="A1506" i="1"/>
  <c r="A1442" i="1"/>
  <c r="A1315" i="1"/>
  <c r="A1157" i="1"/>
  <c r="A1382" i="1"/>
  <c r="A1318" i="1"/>
  <c r="A1254" i="1"/>
  <c r="A1190" i="1"/>
  <c r="A1126" i="1"/>
  <c r="A1062" i="1"/>
  <c r="A998" i="1"/>
  <c r="A934" i="1"/>
  <c r="A864" i="1"/>
  <c r="A736" i="1"/>
  <c r="A1133" i="1"/>
  <c r="A1069" i="1"/>
  <c r="A1005" i="1"/>
  <c r="A941" i="1"/>
  <c r="A877" i="1"/>
  <c r="A751" i="1"/>
  <c r="A1204" i="1"/>
  <c r="A1140" i="1"/>
  <c r="A1076" i="1"/>
  <c r="A1012" i="1"/>
  <c r="A948" i="1"/>
  <c r="A884" i="1"/>
  <c r="A765" i="1"/>
  <c r="A1163" i="1"/>
  <c r="A1099" i="1"/>
  <c r="A1035" i="1"/>
  <c r="A971" i="1"/>
  <c r="A907" i="1"/>
  <c r="A810" i="1"/>
  <c r="A682" i="1"/>
  <c r="A1162" i="1"/>
  <c r="A1098" i="1"/>
  <c r="A1034" i="1"/>
  <c r="A970" i="1"/>
  <c r="A906" i="1"/>
  <c r="A808" i="1"/>
  <c r="A680" i="1"/>
  <c r="A1401" i="1"/>
  <c r="A1337" i="1"/>
  <c r="A1273" i="1"/>
  <c r="A1209" i="1"/>
  <c r="A1145" i="1"/>
  <c r="A1081" i="1"/>
  <c r="A1017" i="1"/>
  <c r="A953" i="1"/>
  <c r="A889" i="1"/>
  <c r="A775" i="1"/>
  <c r="A634" i="1"/>
  <c r="A1376" i="1"/>
  <c r="A1312" i="1"/>
  <c r="A1248" i="1"/>
  <c r="A1184" i="1"/>
  <c r="A1120" i="1"/>
  <c r="A1056" i="1"/>
  <c r="A992" i="1"/>
  <c r="A928" i="1"/>
  <c r="A853" i="1"/>
  <c r="A725" i="1"/>
  <c r="A1423" i="1"/>
  <c r="A1359" i="1"/>
  <c r="A1295" i="1"/>
  <c r="A1231" i="1"/>
  <c r="A1167" i="1"/>
  <c r="A1103" i="1"/>
  <c r="A1039" i="1"/>
  <c r="A975" i="1"/>
  <c r="A911" i="1"/>
  <c r="A818" i="1"/>
  <c r="A690" i="1"/>
  <c r="A616" i="1"/>
  <c r="A552" i="1"/>
  <c r="A488" i="1"/>
  <c r="A424" i="1"/>
  <c r="A360" i="1"/>
  <c r="A296" i="1"/>
  <c r="A232" i="1"/>
  <c r="A615" i="1"/>
  <c r="A551" i="1"/>
  <c r="A487" i="1"/>
  <c r="A423" i="1"/>
  <c r="A359" i="1"/>
  <c r="A295" i="1"/>
  <c r="A231" i="1"/>
  <c r="A830" i="1"/>
  <c r="A766" i="1"/>
  <c r="A702" i="1"/>
  <c r="A638" i="1"/>
  <c r="A574" i="1"/>
  <c r="A510" i="1"/>
  <c r="A446" i="1"/>
  <c r="A382" i="1"/>
  <c r="A318" i="1"/>
  <c r="A254" i="1"/>
  <c r="A637" i="1"/>
  <c r="A573" i="1"/>
  <c r="A509" i="1"/>
  <c r="A445" i="1"/>
  <c r="A381" i="1"/>
  <c r="A317" i="1"/>
  <c r="A253" i="1"/>
  <c r="A868" i="1"/>
  <c r="A804" i="1"/>
  <c r="A740" i="1"/>
  <c r="A676" i="1"/>
  <c r="A612" i="1"/>
  <c r="A548" i="1"/>
  <c r="A484" i="1"/>
  <c r="A420" i="1"/>
  <c r="A356" i="1"/>
  <c r="A292" i="1"/>
  <c r="A228" i="1"/>
  <c r="A843" i="1"/>
  <c r="A779" i="1"/>
  <c r="A715" i="1"/>
  <c r="A651" i="1"/>
  <c r="A587" i="1"/>
  <c r="A523" i="1"/>
  <c r="A459" i="1"/>
  <c r="A395" i="1"/>
  <c r="A331" i="1"/>
  <c r="A267" i="1"/>
  <c r="A203" i="1"/>
  <c r="A554" i="1"/>
  <c r="A490" i="1"/>
  <c r="A426" i="1"/>
  <c r="A362" i="1"/>
  <c r="A298" i="1"/>
  <c r="A234" i="1"/>
  <c r="A849" i="1"/>
  <c r="A785" i="1"/>
  <c r="A721" i="1"/>
  <c r="A657" i="1"/>
  <c r="A593" i="1"/>
  <c r="A529" i="1"/>
  <c r="A465" i="1"/>
  <c r="A401" i="1"/>
  <c r="A337" i="1"/>
  <c r="A273" i="1"/>
  <c r="A209" i="1"/>
  <c r="A1453" i="1"/>
  <c r="A1338" i="1"/>
  <c r="A1205" i="1"/>
  <c r="A1852" i="1"/>
  <c r="A1788" i="1"/>
  <c r="A1724" i="1"/>
  <c r="A1660" i="1"/>
  <c r="A1596" i="1"/>
  <c r="A1532" i="1"/>
  <c r="A1468" i="1"/>
  <c r="A1365" i="1"/>
  <c r="A1237" i="1"/>
  <c r="A1867" i="1"/>
  <c r="A1803" i="1"/>
  <c r="A1739" i="1"/>
  <c r="A1675" i="1"/>
  <c r="A1611" i="1"/>
  <c r="A1547" i="1"/>
  <c r="A1483" i="1"/>
  <c r="A1396" i="1"/>
  <c r="A1268" i="1"/>
  <c r="A1882" i="1"/>
  <c r="A1818" i="1"/>
  <c r="A1754" i="1"/>
  <c r="A1690" i="1"/>
  <c r="A1626" i="1"/>
  <c r="A1562" i="1"/>
  <c r="A1498" i="1"/>
  <c r="A1427" i="1"/>
  <c r="A1299" i="1"/>
  <c r="A1438" i="1"/>
  <c r="A1374" i="1"/>
  <c r="A1310" i="1"/>
  <c r="A1246" i="1"/>
  <c r="A1182" i="1"/>
  <c r="A1118" i="1"/>
  <c r="A1054" i="1"/>
  <c r="A990" i="1"/>
  <c r="A926" i="1"/>
  <c r="A848" i="1"/>
  <c r="A720" i="1"/>
  <c r="A1125" i="1"/>
  <c r="A1061" i="1"/>
  <c r="A997" i="1"/>
  <c r="A933" i="1"/>
  <c r="A863" i="1"/>
  <c r="A735" i="1"/>
  <c r="A1196" i="1"/>
  <c r="A1132" i="1"/>
  <c r="A1068" i="1"/>
  <c r="A1004" i="1"/>
  <c r="A940" i="1"/>
  <c r="A874" i="1"/>
  <c r="A749" i="1"/>
  <c r="A1155" i="1"/>
  <c r="A1091" i="1"/>
  <c r="A1027" i="1"/>
  <c r="A963" i="1"/>
  <c r="A899" i="1"/>
  <c r="A794" i="1"/>
  <c r="A666" i="1"/>
  <c r="A1154" i="1"/>
  <c r="A1090" i="1"/>
  <c r="A1026" i="1"/>
  <c r="A962" i="1"/>
  <c r="A898" i="1"/>
  <c r="A792" i="1"/>
  <c r="A664" i="1"/>
  <c r="A1393" i="1"/>
  <c r="A1329" i="1"/>
  <c r="A1265" i="1"/>
  <c r="A1201" i="1"/>
  <c r="A1137" i="1"/>
  <c r="A1073" i="1"/>
  <c r="A1009" i="1"/>
  <c r="A945" i="1"/>
  <c r="A881" i="1"/>
  <c r="A759" i="1"/>
  <c r="A1432" i="1"/>
  <c r="A1368" i="1"/>
  <c r="A1304" i="1"/>
  <c r="A1240" i="1"/>
  <c r="A1176" i="1"/>
  <c r="A1112" i="1"/>
  <c r="A1048" i="1"/>
  <c r="A984" i="1"/>
  <c r="A920" i="1"/>
  <c r="A837" i="1"/>
  <c r="A709" i="1"/>
  <c r="A1415" i="1"/>
  <c r="A1351" i="1"/>
  <c r="A1287" i="1"/>
  <c r="A1223" i="1"/>
  <c r="A1159" i="1"/>
  <c r="A1095" i="1"/>
  <c r="A1031" i="1"/>
  <c r="A967" i="1"/>
  <c r="A903" i="1"/>
  <c r="A802" i="1"/>
  <c r="A674" i="1"/>
  <c r="A608" i="1"/>
  <c r="A544" i="1"/>
  <c r="A480" i="1"/>
  <c r="A416" i="1"/>
  <c r="A352" i="1"/>
  <c r="A288" i="1"/>
  <c r="A224" i="1"/>
  <c r="A607" i="1"/>
  <c r="A543" i="1"/>
  <c r="A479" i="1"/>
  <c r="A415" i="1"/>
  <c r="A351" i="1"/>
  <c r="A287" i="1"/>
  <c r="A223" i="1"/>
  <c r="A822" i="1"/>
  <c r="A758" i="1"/>
  <c r="A694" i="1"/>
  <c r="A630" i="1"/>
  <c r="A566" i="1"/>
  <c r="A502" i="1"/>
  <c r="A438" i="1"/>
  <c r="A374" i="1"/>
  <c r="A310" i="1"/>
  <c r="A246" i="1"/>
  <c r="A629" i="1"/>
  <c r="A565" i="1"/>
  <c r="A501" i="1"/>
  <c r="A437" i="1"/>
  <c r="A373" i="1"/>
  <c r="A309" i="1"/>
  <c r="A245" i="1"/>
  <c r="A860" i="1"/>
  <c r="A796" i="1"/>
  <c r="A732" i="1"/>
  <c r="A668" i="1"/>
  <c r="A604" i="1"/>
  <c r="A540" i="1"/>
  <c r="A476" i="1"/>
  <c r="A412" i="1"/>
  <c r="A348" i="1"/>
  <c r="A284" i="1"/>
  <c r="A220" i="1"/>
  <c r="A835" i="1"/>
  <c r="A771" i="1"/>
  <c r="A707" i="1"/>
  <c r="A643" i="1"/>
  <c r="A579" i="1"/>
  <c r="A515" i="1"/>
  <c r="A451" i="1"/>
  <c r="A387" i="1"/>
  <c r="A323" i="1"/>
  <c r="A259" i="1"/>
  <c r="A610" i="1"/>
  <c r="A546" i="1"/>
  <c r="A482" i="1"/>
  <c r="A418" i="1"/>
  <c r="A354" i="1"/>
  <c r="A290" i="1"/>
  <c r="A226" i="1"/>
  <c r="A841" i="1"/>
  <c r="A777" i="1"/>
  <c r="A713" i="1"/>
  <c r="A649" i="1"/>
  <c r="A585" i="1"/>
  <c r="A521" i="1"/>
  <c r="A457" i="1"/>
  <c r="A393" i="1"/>
  <c r="A329" i="1"/>
  <c r="A265" i="1"/>
  <c r="L25" i="6" l="1"/>
  <c r="L33" i="6"/>
  <c r="L41" i="6"/>
  <c r="L26" i="6"/>
  <c r="L34" i="6"/>
  <c r="L42" i="6"/>
  <c r="L44" i="6"/>
  <c r="L27" i="6"/>
  <c r="L35" i="6"/>
  <c r="L43" i="6"/>
  <c r="L36" i="6"/>
  <c r="L28" i="6"/>
  <c r="L29" i="6"/>
  <c r="L37" i="6"/>
  <c r="L30" i="6"/>
  <c r="L38" i="6"/>
  <c r="L31" i="6"/>
  <c r="L39" i="6"/>
  <c r="L32" i="6"/>
  <c r="L40" i="6"/>
  <c r="G44" i="6"/>
  <c r="G26" i="6"/>
  <c r="G34" i="6"/>
  <c r="G42" i="6"/>
  <c r="G37" i="6"/>
  <c r="G39" i="6"/>
  <c r="G27" i="6"/>
  <c r="G35" i="6"/>
  <c r="G43" i="6"/>
  <c r="G38" i="6"/>
  <c r="G28" i="6"/>
  <c r="G36" i="6"/>
  <c r="G29" i="6"/>
  <c r="G30" i="6"/>
  <c r="G31" i="6"/>
  <c r="G32" i="6"/>
  <c r="G40" i="6"/>
  <c r="G33" i="6"/>
  <c r="G41" i="6"/>
  <c r="G25" i="6"/>
  <c r="L28" i="2"/>
  <c r="L36" i="2"/>
  <c r="L44" i="2"/>
  <c r="L39" i="2"/>
  <c r="L29" i="2"/>
  <c r="L37" i="2"/>
  <c r="L45" i="2"/>
  <c r="L47" i="2"/>
  <c r="L34" i="2"/>
  <c r="L30" i="2"/>
  <c r="L38" i="2"/>
  <c r="L46" i="2"/>
  <c r="L40" i="2"/>
  <c r="L32" i="2"/>
  <c r="L42" i="2"/>
  <c r="L33" i="2"/>
  <c r="L41" i="2"/>
  <c r="L35" i="2"/>
  <c r="L43" i="2"/>
  <c r="L31" i="2"/>
  <c r="C29" i="2"/>
  <c r="C26" i="6" s="1"/>
  <c r="C37" i="2"/>
  <c r="C34" i="6" s="1"/>
  <c r="C45" i="2"/>
  <c r="C42" i="6" s="1"/>
  <c r="C30" i="2"/>
  <c r="C27" i="6" s="1"/>
  <c r="C38" i="2"/>
  <c r="C35" i="6" s="1"/>
  <c r="C46" i="2"/>
  <c r="C43" i="6" s="1"/>
  <c r="C40" i="2"/>
  <c r="C37" i="6" s="1"/>
  <c r="C31" i="2"/>
  <c r="C28" i="6" s="1"/>
  <c r="C39" i="2"/>
  <c r="C36" i="6" s="1"/>
  <c r="C47" i="2"/>
  <c r="C44" i="6" s="1"/>
  <c r="C32" i="2"/>
  <c r="C29" i="6" s="1"/>
  <c r="C41" i="2"/>
  <c r="C38" i="6" s="1"/>
  <c r="C42" i="2"/>
  <c r="C39" i="6" s="1"/>
  <c r="C34" i="2"/>
  <c r="C31" i="6" s="1"/>
  <c r="C35" i="2"/>
  <c r="C32" i="6" s="1"/>
  <c r="C43" i="2"/>
  <c r="C40" i="6" s="1"/>
  <c r="C36" i="2"/>
  <c r="C33" i="6" s="1"/>
  <c r="C44" i="2"/>
  <c r="C41" i="6" s="1"/>
  <c r="C33" i="2"/>
  <c r="C30" i="6" s="1"/>
  <c r="C28" i="2"/>
  <c r="C25" i="6" s="1"/>
  <c r="G5" i="6"/>
  <c r="L8" i="2"/>
  <c r="L19" i="6"/>
  <c r="L21" i="2"/>
  <c r="L16" i="6"/>
  <c r="C22" i="2"/>
  <c r="C19" i="6" s="1"/>
  <c r="L18" i="2"/>
  <c r="L13" i="6"/>
  <c r="G8" i="6"/>
  <c r="G13" i="6"/>
  <c r="G15" i="6"/>
  <c r="L7" i="6"/>
  <c r="L6" i="6"/>
  <c r="G17" i="6"/>
  <c r="C12" i="2"/>
  <c r="C9" i="6" s="1"/>
  <c r="C21" i="2"/>
  <c r="C18" i="6" s="1"/>
  <c r="L11" i="2"/>
  <c r="L5" i="6"/>
  <c r="L14" i="2"/>
  <c r="L10" i="6"/>
  <c r="L23" i="2"/>
  <c r="L12" i="6"/>
  <c r="G14" i="6"/>
  <c r="C18" i="2"/>
  <c r="C15" i="6" s="1"/>
  <c r="C20" i="2"/>
  <c r="C17" i="6" s="1"/>
  <c r="G24" i="6"/>
  <c r="G7" i="6"/>
  <c r="C17" i="2"/>
  <c r="C14" i="6" s="1"/>
  <c r="C26" i="2"/>
  <c r="C23" i="6" s="1"/>
  <c r="L27" i="2"/>
  <c r="L9" i="6"/>
  <c r="C19" i="2"/>
  <c r="C16" i="6" s="1"/>
  <c r="L9" i="2"/>
  <c r="C9" i="2"/>
  <c r="C6" i="6" s="1"/>
  <c r="L10" i="2"/>
  <c r="G16" i="6"/>
  <c r="L25" i="2"/>
  <c r="L21" i="6"/>
  <c r="G10" i="6"/>
  <c r="G22" i="6"/>
  <c r="C15" i="2"/>
  <c r="C12" i="6" s="1"/>
  <c r="C25" i="2"/>
  <c r="C22" i="6" s="1"/>
  <c r="C10" i="2"/>
  <c r="C7" i="6" s="1"/>
  <c r="L17" i="2"/>
  <c r="G23" i="6"/>
  <c r="L20" i="2"/>
  <c r="L12" i="2"/>
  <c r="L18" i="6"/>
  <c r="L20" i="6"/>
  <c r="L11" i="6"/>
  <c r="C14" i="2"/>
  <c r="C11" i="6" s="1"/>
  <c r="C23" i="2"/>
  <c r="C20" i="6" s="1"/>
  <c r="L19" i="2"/>
  <c r="L22" i="6"/>
  <c r="G19" i="6"/>
  <c r="L24" i="6"/>
  <c r="G21" i="6"/>
  <c r="L15" i="6"/>
  <c r="G20" i="6"/>
  <c r="L15" i="2"/>
  <c r="L13" i="2"/>
  <c r="L24" i="2"/>
  <c r="G9" i="6"/>
  <c r="C16" i="2"/>
  <c r="C13" i="6" s="1"/>
  <c r="C27" i="2"/>
  <c r="C24" i="6" s="1"/>
  <c r="C24" i="2"/>
  <c r="C21" i="6" s="1"/>
  <c r="L16" i="2"/>
  <c r="G6" i="6"/>
  <c r="G18" i="6"/>
  <c r="L17" i="6"/>
  <c r="G11" i="6"/>
  <c r="L8" i="6"/>
  <c r="G12" i="6"/>
  <c r="L26" i="2"/>
  <c r="L14" i="6"/>
  <c r="L22" i="2"/>
  <c r="L23" i="6"/>
  <c r="C11" i="2"/>
  <c r="C8" i="6" s="1"/>
  <c r="C8" i="2"/>
  <c r="C5" i="6" s="1"/>
  <c r="C13" i="2"/>
  <c r="C10" i="6" s="1"/>
</calcChain>
</file>

<file path=xl/sharedStrings.xml><?xml version="1.0" encoding="utf-8"?>
<sst xmlns="http://schemas.openxmlformats.org/spreadsheetml/2006/main" count="3814" uniqueCount="3810">
  <si>
    <t>～</t>
    <phoneticPr fontId="1"/>
  </si>
  <si>
    <t>氏名</t>
    <rPh sb="0" eb="2">
      <t>シメイ</t>
    </rPh>
    <phoneticPr fontId="1"/>
  </si>
  <si>
    <t>得点</t>
    <rPh sb="0" eb="2">
      <t>トクテン</t>
    </rPh>
    <phoneticPr fontId="1"/>
  </si>
  <si>
    <t>/20</t>
    <phoneticPr fontId="1"/>
  </si>
  <si>
    <t>該当有無</t>
    <rPh sb="0" eb="2">
      <t>ガイトウ</t>
    </rPh>
    <rPh sb="2" eb="4">
      <t>ウム</t>
    </rPh>
    <phoneticPr fontId="1"/>
  </si>
  <si>
    <t>乱数</t>
    <rPh sb="0" eb="2">
      <t>ランスウ</t>
    </rPh>
    <phoneticPr fontId="1"/>
  </si>
  <si>
    <t>順序</t>
    <rPh sb="0" eb="2">
      <t>ジュンジョ</t>
    </rPh>
    <phoneticPr fontId="1"/>
  </si>
  <si>
    <t xml:space="preserve"> </t>
    <phoneticPr fontId="1"/>
  </si>
  <si>
    <t>～</t>
    <phoneticPr fontId="1"/>
  </si>
  <si>
    <t>出題範囲</t>
    <rPh sb="0" eb="4">
      <t>シュツダイハンイ</t>
    </rPh>
    <phoneticPr fontId="1"/>
  </si>
  <si>
    <t>模　範　解　答</t>
    <phoneticPr fontId="1"/>
  </si>
  <si>
    <t>役割；（俳優などの）役</t>
  </si>
  <si>
    <t>証拠</t>
  </si>
  <si>
    <t>argue</t>
  </si>
  <si>
    <t>claim</t>
  </si>
  <si>
    <t>offer</t>
  </si>
  <si>
    <t>suggest</t>
  </si>
  <si>
    <t>describe</t>
  </si>
  <si>
    <t>communicate</t>
  </si>
  <si>
    <t>express</t>
  </si>
  <si>
    <t>technology</t>
  </si>
  <si>
    <t>research</t>
  </si>
  <si>
    <t>material</t>
  </si>
  <si>
    <t>skill</t>
  </si>
  <si>
    <t>practice</t>
  </si>
  <si>
    <t>achieve</t>
  </si>
  <si>
    <t>improve</t>
  </si>
  <si>
    <t>produce</t>
  </si>
  <si>
    <t>create</t>
  </si>
  <si>
    <t>establish</t>
  </si>
  <si>
    <t>medicine</t>
  </si>
  <si>
    <t>patient</t>
  </si>
  <si>
    <t>stress</t>
  </si>
  <si>
    <t>suffer</t>
  </si>
  <si>
    <t>physical</t>
  </si>
  <si>
    <t>role</t>
  </si>
  <si>
    <t>habit</t>
  </si>
  <si>
    <t>native</t>
  </si>
  <si>
    <t>evidence</t>
  </si>
  <si>
    <t>value</t>
  </si>
  <si>
    <t>public</t>
  </si>
  <si>
    <t>political</t>
  </si>
  <si>
    <t>trade</t>
  </si>
  <si>
    <t>economy</t>
  </si>
  <si>
    <t>company</t>
  </si>
  <si>
    <t>task</t>
  </si>
  <si>
    <t>damage</t>
  </si>
  <si>
    <t>likely</t>
  </si>
  <si>
    <t>certain</t>
  </si>
  <si>
    <t>avoid</t>
  </si>
  <si>
    <t>solve</t>
  </si>
  <si>
    <t>issue</t>
  </si>
  <si>
    <t>encourage</t>
  </si>
  <si>
    <t>prevent</t>
  </si>
  <si>
    <t>draw</t>
  </si>
  <si>
    <t>bear</t>
  </si>
  <si>
    <t>survive</t>
  </si>
  <si>
    <t>include</t>
  </si>
  <si>
    <t>contain</t>
  </si>
  <si>
    <t>own</t>
  </si>
  <si>
    <t>share</t>
  </si>
  <si>
    <t>subject</t>
  </si>
  <si>
    <t>knowledge</t>
  </si>
  <si>
    <t>decide</t>
  </si>
  <si>
    <t>imagine</t>
  </si>
  <si>
    <t>realize</t>
  </si>
  <si>
    <t>consider</t>
  </si>
  <si>
    <t>wonder</t>
  </si>
  <si>
    <t>compare</t>
  </si>
  <si>
    <t>focus</t>
  </si>
  <si>
    <t>allow</t>
  </si>
  <si>
    <t>小テスト自動作成プログラム</t>
    <rPh sb="0" eb="1">
      <t>ショウ</t>
    </rPh>
    <rPh sb="4" eb="8">
      <t>ジドウサクセイ</t>
    </rPh>
    <phoneticPr fontId="1"/>
  </si>
  <si>
    <t>出題番号</t>
    <rPh sb="0" eb="2">
      <t>シュツダイ</t>
    </rPh>
    <rPh sb="2" eb="4">
      <t>バンゴウ</t>
    </rPh>
    <phoneticPr fontId="1"/>
  </si>
  <si>
    <t>Imput（問題）</t>
    <rPh sb="6" eb="8">
      <t>モンダイ</t>
    </rPh>
    <phoneticPr fontId="1"/>
  </si>
  <si>
    <t>Output（答え）</t>
    <rPh sb="7" eb="8">
      <t>コタ</t>
    </rPh>
    <phoneticPr fontId="1"/>
  </si>
  <si>
    <t>を創り出す；を引き起こす</t>
  </si>
  <si>
    <t>increase</t>
  </si>
  <si>
    <t>を向上させる；よくなる</t>
  </si>
  <si>
    <t>mean</t>
  </si>
  <si>
    <t>を所有している；（事実・罪など）を認める</t>
  </si>
  <si>
    <t>を見なす；について考える</t>
  </si>
  <si>
    <t>を提案する；を暗示する</t>
  </si>
  <si>
    <t>を生産する；を取り出す</t>
  </si>
  <si>
    <t>を決める；に決着をつける</t>
  </si>
  <si>
    <t>を提供する，申し出る</t>
  </si>
  <si>
    <t>require</t>
  </si>
  <si>
    <t>を要求する；を必要とする</t>
  </si>
  <si>
    <t>を共有する；を分担する</t>
  </si>
  <si>
    <t>store</t>
  </si>
  <si>
    <t>を保存する；を蓄える</t>
  </si>
  <si>
    <t>tend</t>
  </si>
  <si>
    <t>傾向がある；を世話する</t>
  </si>
  <si>
    <t>concern</t>
  </si>
  <si>
    <t>について述べる，を説明する</t>
  </si>
  <si>
    <t>involve</t>
  </si>
  <si>
    <t>を関与させる；を伴う</t>
  </si>
  <si>
    <t>reduce</t>
  </si>
  <si>
    <t>design</t>
  </si>
  <si>
    <t>を設計する；を計画する</t>
  </si>
  <si>
    <t>force</t>
  </si>
  <si>
    <t>に強いる；を強要する</t>
  </si>
  <si>
    <t>limit</t>
  </si>
  <si>
    <t>を制限［規制］する</t>
  </si>
  <si>
    <t>affect</t>
  </si>
  <si>
    <t>deal</t>
  </si>
  <si>
    <t>を避ける</t>
  </si>
  <si>
    <t>relate</t>
  </si>
  <si>
    <t>に気づく；を実現する</t>
  </si>
  <si>
    <t>measure</t>
  </si>
  <si>
    <t>を測る；を（比較して）評価する</t>
  </si>
  <si>
    <t>exist</t>
  </si>
  <si>
    <t>存在する；生存する</t>
  </si>
  <si>
    <t>mark</t>
  </si>
  <si>
    <t>に印をつける；を（記号で）示す；に汚れをつける</t>
  </si>
  <si>
    <t>challenge</t>
  </si>
  <si>
    <t>に異議を唱える；（人）に挑む</t>
  </si>
  <si>
    <t>depend</t>
  </si>
  <si>
    <t>頼る；～次第である</t>
  </si>
  <si>
    <t>object</t>
  </si>
  <si>
    <t>demand</t>
  </si>
  <si>
    <t>を要求する</t>
  </si>
  <si>
    <t>found</t>
  </si>
  <si>
    <t>complete</t>
  </si>
  <si>
    <t>を完成させる，仕上げる</t>
  </si>
  <si>
    <t>idea</t>
  </si>
  <si>
    <t>考え，思いつき；理解；見解；概念</t>
  </si>
  <si>
    <t>accord</t>
  </si>
  <si>
    <t>一致；合意，協定</t>
  </si>
  <si>
    <t>会社；〔集合的に〕仲間；（仲間と）一緒にいること；一座</t>
  </si>
  <si>
    <t>interest</t>
  </si>
  <si>
    <t>興味；利子；利害</t>
  </si>
  <si>
    <t>cause</t>
  </si>
  <si>
    <t>reason</t>
  </si>
  <si>
    <t>effect</t>
  </si>
  <si>
    <t>影響，効果；結果</t>
  </si>
  <si>
    <t>influence</t>
  </si>
  <si>
    <t>影響（力）</t>
  </si>
  <si>
    <t>situation</t>
  </si>
  <si>
    <t>状況；（人の置かれた）立場</t>
  </si>
  <si>
    <t>environment</t>
  </si>
  <si>
    <t>技能；熟練</t>
  </si>
  <si>
    <t>matter</t>
  </si>
  <si>
    <t>view</t>
  </si>
  <si>
    <t>species</t>
  </si>
  <si>
    <t>（生物の）種；種類</t>
  </si>
  <si>
    <t>thought</t>
  </si>
  <si>
    <t>考え；思考</t>
  </si>
  <si>
    <t>知識；知っていること；認識</t>
  </si>
  <si>
    <t>memory</t>
  </si>
  <si>
    <t>実践，実行；（社会の）慣習；練習</t>
  </si>
  <si>
    <t>benefit</t>
  </si>
  <si>
    <t>利益，恩恵；給付金</t>
  </si>
  <si>
    <t>theory</t>
  </si>
  <si>
    <t>学説；理論；原理；推測</t>
  </si>
  <si>
    <t>問題（点）；発行（物）；発表</t>
  </si>
  <si>
    <t>experiment</t>
  </si>
  <si>
    <t>article</t>
  </si>
  <si>
    <t>記事；条項；品物</t>
  </si>
  <si>
    <t>焦点；関心の的</t>
  </si>
  <si>
    <t>話題；科目；主題；被験者</t>
  </si>
  <si>
    <t>project</t>
  </si>
  <si>
    <t>計画；事業；研究計画</t>
  </si>
  <si>
    <t>quality</t>
  </si>
  <si>
    <t>term</t>
  </si>
  <si>
    <t>statement</t>
  </si>
  <si>
    <t>声明；主張；明細書</t>
  </si>
  <si>
    <t>材料，素材；資料；生地</t>
  </si>
  <si>
    <t>source</t>
  </si>
  <si>
    <t>community</t>
  </si>
  <si>
    <t>（共同）社会，～界；地域社会；地域住民</t>
  </si>
  <si>
    <t>科学技術；応用技術</t>
  </si>
  <si>
    <t>culture</t>
  </si>
  <si>
    <t>文化；教養；耕作；養殖；培養</t>
  </si>
  <si>
    <t>appropriate</t>
  </si>
  <si>
    <t>possible</t>
  </si>
  <si>
    <t>可能な；可能性のある</t>
  </si>
  <si>
    <t>individual</t>
  </si>
  <si>
    <t>個々の；個人の</t>
  </si>
  <si>
    <t>common</t>
  </si>
  <si>
    <t>共通の；普通の；一般の</t>
  </si>
  <si>
    <t>確信して；確かな；ある；一定の</t>
  </si>
  <si>
    <t>similar</t>
  </si>
  <si>
    <t>似ている，類似した；同様の</t>
  </si>
  <si>
    <t>recent</t>
  </si>
  <si>
    <t>最近の</t>
  </si>
  <si>
    <t>major</t>
  </si>
  <si>
    <t>主要な；大きい（ほうの）；長調の</t>
  </si>
  <si>
    <t>忍耐強い；勤勉な</t>
  </si>
  <si>
    <t>particular</t>
  </si>
  <si>
    <t>various</t>
  </si>
  <si>
    <t>さまざまな；いくつかの</t>
  </si>
  <si>
    <t>available</t>
  </si>
  <si>
    <t>手に入る；利用できる；手が空いている</t>
  </si>
  <si>
    <t>出生地の；原産の；生得の</t>
  </si>
  <si>
    <t>政治（上）の</t>
  </si>
  <si>
    <t>due</t>
  </si>
  <si>
    <t>予定された；（支払）期日で；しかるべき</t>
  </si>
  <si>
    <t>blank</t>
  </si>
  <si>
    <t>空白の；無表情な；がらんとした</t>
  </si>
  <si>
    <t>ancient</t>
  </si>
  <si>
    <t>古代の；昔からの</t>
  </si>
  <si>
    <t>correct</t>
  </si>
  <si>
    <t>正しい；適切な</t>
  </si>
  <si>
    <t>despite</t>
  </si>
  <si>
    <t>notice</t>
  </si>
  <si>
    <t>に気づく</t>
  </si>
  <si>
    <t>refer</t>
  </si>
  <si>
    <t>言及する，関連する；参照する</t>
  </si>
  <si>
    <t>approach</t>
  </si>
  <si>
    <t>に近づく；に取り組む</t>
  </si>
  <si>
    <t>（を）想像する；（を）推測する</t>
  </si>
  <si>
    <t>recognize</t>
  </si>
  <si>
    <t>を識別できる；を認める</t>
  </si>
  <si>
    <t>を解く，解明する；（困難など）を解決する</t>
  </si>
  <si>
    <t>occur</t>
  </si>
  <si>
    <t>起こる；心に浮かぶ；現れる</t>
  </si>
  <si>
    <t>と主張する；を（自分のものとして）要求する</t>
  </si>
  <si>
    <t>を表す，述べる</t>
  </si>
  <si>
    <t>を引き出す；を引く；を描く；近づく</t>
  </si>
  <si>
    <t>waste</t>
  </si>
  <si>
    <t>を浪費する，無駄にする</t>
  </si>
  <si>
    <t>advance</t>
  </si>
  <si>
    <t>を進歩させる；を進める；進歩する；進む</t>
  </si>
  <si>
    <t>spread</t>
  </si>
  <si>
    <t>を広める；広がる</t>
  </si>
  <si>
    <t>prepare</t>
  </si>
  <si>
    <t>gain</t>
  </si>
  <si>
    <t>を獲得する；（を）増す</t>
  </si>
  <si>
    <t>を達成する；を成し遂げる</t>
  </si>
  <si>
    <t>を確立する；を設立する</t>
  </si>
  <si>
    <t>supply</t>
  </si>
  <si>
    <t>を供給する</t>
  </si>
  <si>
    <t>suppose</t>
  </si>
  <si>
    <t>と思う；と仮定する</t>
  </si>
  <si>
    <t>perform</t>
  </si>
  <si>
    <t>（を）行う；（を）演じる，（を）演奏する</t>
  </si>
  <si>
    <t>prefer</t>
  </si>
  <si>
    <t>のほうを好む</t>
  </si>
  <si>
    <t>determine</t>
  </si>
  <si>
    <t>を決定する；を正確に知る</t>
  </si>
  <si>
    <t>treat</t>
  </si>
  <si>
    <t>を扱う；を治療する</t>
  </si>
  <si>
    <t>prove</t>
  </si>
  <si>
    <t>を証明する；判明する，わかる</t>
  </si>
  <si>
    <t>apply</t>
  </si>
  <si>
    <t>mention</t>
  </si>
  <si>
    <t>に言及する；と言う</t>
  </si>
  <si>
    <t>を含む；を収容する；（感情など）を抑える</t>
  </si>
  <si>
    <t>contact</t>
  </si>
  <si>
    <t>と連絡を取る；接触する</t>
  </si>
  <si>
    <t>regard</t>
  </si>
  <si>
    <t>を見なす；を見る；を評価する</t>
  </si>
  <si>
    <t>respect</t>
  </si>
  <si>
    <t>を尊敬する；を尊重する</t>
  </si>
  <si>
    <t>search</t>
  </si>
  <si>
    <t>捜す；を捜索する；を詳しく調べる</t>
  </si>
  <si>
    <t>connect</t>
  </si>
  <si>
    <t>をつなぐ；を関連づける</t>
  </si>
  <si>
    <t>decline</t>
  </si>
  <si>
    <t>減少する；衰退する；を断る</t>
  </si>
  <si>
    <t>を妨げる；を防ぐ</t>
  </si>
  <si>
    <t>苦しむ；患う；（苦痛など）を経験する</t>
  </si>
  <si>
    <t>を切り抜けて生き残る；より長生きする；生き延びる</t>
  </si>
  <si>
    <t>publish</t>
  </si>
  <si>
    <t>を出版する；を公表する</t>
  </si>
  <si>
    <t>opportunity</t>
  </si>
  <si>
    <t>（課せられた）仕事，作業；課題；タスク</t>
  </si>
  <si>
    <t>industry</t>
  </si>
  <si>
    <t>medium</t>
  </si>
  <si>
    <t>（情報伝達の）媒体；手段</t>
  </si>
  <si>
    <t>経済（状態）；経済圏；節約</t>
  </si>
  <si>
    <t>policy</t>
  </si>
  <si>
    <t>政策，方針；（個人の）主義</t>
  </si>
  <si>
    <t>account</t>
  </si>
  <si>
    <t>説明；勘定；口座</t>
  </si>
  <si>
    <t>貿易；商売，取引</t>
  </si>
  <si>
    <t>model</t>
  </si>
  <si>
    <t>模範；モデル；模型；型</t>
  </si>
  <si>
    <t>figure</t>
  </si>
  <si>
    <t>数字；姿；人物；図表</t>
  </si>
  <si>
    <t>cell</t>
  </si>
  <si>
    <t>細胞；独房；電池</t>
  </si>
  <si>
    <t>image</t>
  </si>
  <si>
    <t>印象，イメージ；画像；像</t>
  </si>
  <si>
    <t>emotion</t>
  </si>
  <si>
    <t>感情，情動；感動</t>
  </si>
  <si>
    <t>ストレス；圧力；強調</t>
  </si>
  <si>
    <t>decade</t>
  </si>
  <si>
    <t>range</t>
  </si>
  <si>
    <t>範囲；射程距離；（同類の）組</t>
  </si>
  <si>
    <t>character</t>
  </si>
  <si>
    <t>性格，個性；特徴；登場人物；文字</t>
  </si>
  <si>
    <t>advantage</t>
  </si>
  <si>
    <t>利点；優勢；有利</t>
  </si>
  <si>
    <t>phrase</t>
  </si>
  <si>
    <t>句；成句；言葉遣い</t>
  </si>
  <si>
    <t>impact</t>
  </si>
  <si>
    <t>影響；（激しい）衝突；衝撃（力）</t>
  </si>
  <si>
    <t>method</t>
  </si>
  <si>
    <t>方法；体系；秩序</t>
  </si>
  <si>
    <t>resource</t>
  </si>
  <si>
    <t>region</t>
  </si>
  <si>
    <t>地域；領域；部位</t>
  </si>
  <si>
    <t>薬；医学</t>
  </si>
  <si>
    <t>detail</t>
  </si>
  <si>
    <t>feature</t>
  </si>
  <si>
    <t>function</t>
  </si>
  <si>
    <t>機能；関数</t>
  </si>
  <si>
    <t>access</t>
  </si>
  <si>
    <t>利用，入手；接近（の機会・方法・権利）</t>
  </si>
  <si>
    <t>item</t>
  </si>
  <si>
    <t>品目，項目；（同種の中の）～個；（短い）記事</t>
  </si>
  <si>
    <t>income</t>
  </si>
  <si>
    <t>収入；所得</t>
  </si>
  <si>
    <t>attitude</t>
  </si>
  <si>
    <t>態度；考え方，心構え</t>
  </si>
  <si>
    <t>site</t>
  </si>
  <si>
    <t>用地，場所；跡地；（ウェブ）サイト</t>
  </si>
  <si>
    <t>aspect</t>
  </si>
  <si>
    <t>（物事の）側面；観点；様相</t>
  </si>
  <si>
    <t>structure</t>
  </si>
  <si>
    <t>構造；体系；構造物</t>
  </si>
  <si>
    <t>習慣，癖</t>
  </si>
  <si>
    <t>link</t>
  </si>
  <si>
    <t>instance</t>
  </si>
  <si>
    <t>（具体的な）例，実例；（特定の）場合</t>
  </si>
  <si>
    <t>positive</t>
  </si>
  <si>
    <t>肯定的な；積極的な；確信して；（検査結果が）陽性の</t>
  </si>
  <si>
    <t>negative</t>
  </si>
  <si>
    <t>否定的な；消極的な；（検査結果が）陰性の</t>
  </si>
  <si>
    <t>complex</t>
  </si>
  <si>
    <t>複雑な；複合（体）の</t>
  </si>
  <si>
    <t>current</t>
  </si>
  <si>
    <t>現在の；現代の；通用している</t>
  </si>
  <si>
    <t>mental</t>
  </si>
  <si>
    <t>精神の；知能の；頭の中で行う</t>
  </si>
  <si>
    <t>specific</t>
  </si>
  <si>
    <t>significant</t>
  </si>
  <si>
    <t>重要な，重大な；意義深い</t>
  </si>
  <si>
    <t>essential</t>
  </si>
  <si>
    <t>official</t>
  </si>
  <si>
    <t>公用の；公式の；役所の</t>
  </si>
  <si>
    <t>financial</t>
  </si>
  <si>
    <t>財政（上）の；財界の</t>
  </si>
  <si>
    <t>academic</t>
  </si>
  <si>
    <t>学問の；大学の</t>
  </si>
  <si>
    <t>aware</t>
  </si>
  <si>
    <t>気づいて，知って</t>
  </si>
  <si>
    <t>worth</t>
  </si>
  <si>
    <t>potential</t>
  </si>
  <si>
    <t>潜在的な；可能性を秘めた</t>
  </si>
  <si>
    <t>active</t>
  </si>
  <si>
    <t>積極的な；活動的な；効力のある</t>
  </si>
  <si>
    <t>digital</t>
  </si>
  <si>
    <t>デジタル方式の；デジタル［数字］表示の</t>
  </si>
  <si>
    <t>mobile</t>
  </si>
  <si>
    <t>可動［移動］式の；流動性のある</t>
  </si>
  <si>
    <t>novel</t>
  </si>
  <si>
    <t>斬新な，目新しい</t>
  </si>
  <si>
    <t>plastic</t>
  </si>
  <si>
    <t>柔軟な；プラスチックの，ビニールの</t>
  </si>
  <si>
    <t>chemical</t>
  </si>
  <si>
    <t>化学の，化学的な</t>
  </si>
  <si>
    <t>necessary</t>
  </si>
  <si>
    <t>eventually</t>
  </si>
  <si>
    <t>結局（は）</t>
  </si>
  <si>
    <t>identify</t>
  </si>
  <si>
    <t>represent</t>
  </si>
  <si>
    <t>indicate</t>
  </si>
  <si>
    <t>manage</t>
  </si>
  <si>
    <t>attend</t>
  </si>
  <si>
    <t>maintain</t>
  </si>
  <si>
    <t>survey</t>
  </si>
  <si>
    <t>replace</t>
  </si>
  <si>
    <t>sort</t>
  </si>
  <si>
    <t>conduct</t>
  </si>
  <si>
    <t>associate</t>
  </si>
  <si>
    <t>attempt</t>
  </si>
  <si>
    <t>promote</t>
  </si>
  <si>
    <t>earn</t>
  </si>
  <si>
    <t>unite</t>
  </si>
  <si>
    <t>feed</t>
  </si>
  <si>
    <t>seek</t>
  </si>
  <si>
    <t>observe</t>
  </si>
  <si>
    <t>reveal</t>
  </si>
  <si>
    <t>estimate</t>
  </si>
  <si>
    <t>reflect</t>
  </si>
  <si>
    <t>attract</t>
  </si>
  <si>
    <t>decrease</t>
  </si>
  <si>
    <t>ignore</t>
  </si>
  <si>
    <t>match</t>
  </si>
  <si>
    <t>define</t>
  </si>
  <si>
    <t>adapt</t>
  </si>
  <si>
    <t>contribute</t>
  </si>
  <si>
    <t>exchange</t>
  </si>
  <si>
    <t>display</t>
  </si>
  <si>
    <t>respond</t>
  </si>
  <si>
    <t>hide</t>
  </si>
  <si>
    <t>doubt</t>
  </si>
  <si>
    <t>remove</t>
  </si>
  <si>
    <t>wind</t>
  </si>
  <si>
    <t>assume</t>
  </si>
  <si>
    <t>relax</t>
  </si>
  <si>
    <t>satisfy</t>
  </si>
  <si>
    <t>desire</t>
  </si>
  <si>
    <t>succeed</t>
  </si>
  <si>
    <t>concept</t>
  </si>
  <si>
    <t>fashion</t>
  </si>
  <si>
    <t>device</t>
  </si>
  <si>
    <t>charge</t>
  </si>
  <si>
    <t>contrast</t>
  </si>
  <si>
    <t>colleague</t>
  </si>
  <si>
    <t>pain</t>
  </si>
  <si>
    <t>bill</t>
  </si>
  <si>
    <t>content</t>
  </si>
  <si>
    <t>section</t>
  </si>
  <si>
    <t>audience</t>
  </si>
  <si>
    <t>surface</t>
  </si>
  <si>
    <t>crop</t>
  </si>
  <si>
    <t>topic</t>
  </si>
  <si>
    <t>technique</t>
  </si>
  <si>
    <t>status</t>
  </si>
  <si>
    <t>option</t>
  </si>
  <si>
    <t>reward</t>
  </si>
  <si>
    <t>race</t>
  </si>
  <si>
    <t>crime</t>
  </si>
  <si>
    <t>conflict</t>
  </si>
  <si>
    <t>struggle</t>
  </si>
  <si>
    <t>context</t>
  </si>
  <si>
    <t>debate</t>
  </si>
  <si>
    <t>fuel</t>
  </si>
  <si>
    <t>pollution</t>
  </si>
  <si>
    <t>trend</t>
  </si>
  <si>
    <t>balance</t>
  </si>
  <si>
    <t>traffic</t>
  </si>
  <si>
    <t>strategy</t>
  </si>
  <si>
    <t>basis</t>
  </si>
  <si>
    <t>consequence</t>
  </si>
  <si>
    <t>aim</t>
  </si>
  <si>
    <t>ancestor</t>
  </si>
  <si>
    <t>gene</t>
  </si>
  <si>
    <t>track</t>
  </si>
  <si>
    <t>revolution</t>
  </si>
  <si>
    <t>progress</t>
  </si>
  <si>
    <t>cognitive</t>
  </si>
  <si>
    <t>ideal</t>
  </si>
  <si>
    <t>efficient</t>
  </si>
  <si>
    <t>universal</t>
  </si>
  <si>
    <t>vast</t>
  </si>
  <si>
    <t>extra</t>
  </si>
  <si>
    <t>entire</t>
  </si>
  <si>
    <t>familiar</t>
  </si>
  <si>
    <t>obvious</t>
  </si>
  <si>
    <t>moral</t>
  </si>
  <si>
    <t>ordinary</t>
  </si>
  <si>
    <t>equal</t>
  </si>
  <si>
    <t>previous</t>
  </si>
  <si>
    <t>rare</t>
  </si>
  <si>
    <t>legal</t>
  </si>
  <si>
    <t>independent</t>
  </si>
  <si>
    <t>extreme</t>
  </si>
  <si>
    <t>actual</t>
  </si>
  <si>
    <t>willing</t>
  </si>
  <si>
    <t>urban</t>
  </si>
  <si>
    <t>whereas</t>
  </si>
  <si>
    <t>predict</t>
  </si>
  <si>
    <t>examine</t>
  </si>
  <si>
    <t>trust</t>
  </si>
  <si>
    <t>stick</t>
  </si>
  <si>
    <t>emerge</t>
  </si>
  <si>
    <t>vary</t>
  </si>
  <si>
    <t>release</t>
  </si>
  <si>
    <t>divide</t>
  </si>
  <si>
    <t>enable</t>
  </si>
  <si>
    <t>judge</t>
  </si>
  <si>
    <t>rely</t>
  </si>
  <si>
    <t>engage</t>
  </si>
  <si>
    <t>shift</t>
  </si>
  <si>
    <t>adopt</t>
  </si>
  <si>
    <t>acquire</t>
  </si>
  <si>
    <t>expand</t>
  </si>
  <si>
    <t>refuse</t>
  </si>
  <si>
    <t>strike</t>
  </si>
  <si>
    <t>repeat</t>
  </si>
  <si>
    <t>consume</t>
  </si>
  <si>
    <t>confuse</t>
  </si>
  <si>
    <t>select</t>
  </si>
  <si>
    <t>evolve</t>
  </si>
  <si>
    <t>convince</t>
  </si>
  <si>
    <t>recall</t>
  </si>
  <si>
    <t>destroy</t>
  </si>
  <si>
    <t>preserve</t>
  </si>
  <si>
    <t>organize</t>
  </si>
  <si>
    <t>warn</t>
  </si>
  <si>
    <t>address</t>
  </si>
  <si>
    <t>operate</t>
  </si>
  <si>
    <t>participate</t>
  </si>
  <si>
    <t>surround</t>
  </si>
  <si>
    <t>flow</t>
  </si>
  <si>
    <t>bore</t>
  </si>
  <si>
    <t>complain</t>
  </si>
  <si>
    <t>host</t>
  </si>
  <si>
    <t>combine</t>
  </si>
  <si>
    <t>extend</t>
  </si>
  <si>
    <t>appreciate</t>
  </si>
  <si>
    <t>target</t>
  </si>
  <si>
    <t>element</t>
  </si>
  <si>
    <t>principle</t>
  </si>
  <si>
    <t>phenomenon</t>
  </si>
  <si>
    <t>atmosphere</t>
  </si>
  <si>
    <t>origin</t>
  </si>
  <si>
    <t>personality</t>
  </si>
  <si>
    <t>capacity</t>
  </si>
  <si>
    <t>profit</t>
  </si>
  <si>
    <t>circumstance</t>
  </si>
  <si>
    <t>manner</t>
  </si>
  <si>
    <t>threat</t>
  </si>
  <si>
    <t>resident</t>
  </si>
  <si>
    <t>wealth</t>
  </si>
  <si>
    <t>institution</t>
  </si>
  <si>
    <t>authority</t>
  </si>
  <si>
    <t>vote</t>
  </si>
  <si>
    <t>sight</t>
  </si>
  <si>
    <t>campaign</t>
  </si>
  <si>
    <t>fund</t>
  </si>
  <si>
    <t>web</t>
  </si>
  <si>
    <t>symbol</t>
  </si>
  <si>
    <t>analysis</t>
  </si>
  <si>
    <t>version</t>
  </si>
  <si>
    <t>perspective</t>
  </si>
  <si>
    <t>crisis</t>
  </si>
  <si>
    <t>disaster</t>
  </si>
  <si>
    <t>lecture</t>
  </si>
  <si>
    <t>psychology</t>
  </si>
  <si>
    <t>gender</t>
  </si>
  <si>
    <t>custom</t>
  </si>
  <si>
    <t>court</t>
  </si>
  <si>
    <t>desert</t>
  </si>
  <si>
    <t>soil</t>
  </si>
  <si>
    <t>agriculture</t>
  </si>
  <si>
    <t>fossil</t>
  </si>
  <si>
    <t>document</t>
  </si>
  <si>
    <t>vocabulary</t>
  </si>
  <si>
    <t>intelligent</t>
  </si>
  <si>
    <t>conscious</t>
  </si>
  <si>
    <t>capable</t>
  </si>
  <si>
    <t>accurate</t>
  </si>
  <si>
    <t>fundamental</t>
  </si>
  <si>
    <t>artificial</t>
  </si>
  <si>
    <t>firm</t>
  </si>
  <si>
    <t>overall</t>
  </si>
  <si>
    <t>rural</t>
  </si>
  <si>
    <t>military</t>
  </si>
  <si>
    <t>nuclear</t>
  </si>
  <si>
    <t>biological</t>
  </si>
  <si>
    <t>constant</t>
  </si>
  <si>
    <t>severe</t>
  </si>
  <si>
    <t>visual</t>
  </si>
  <si>
    <t>enormous</t>
  </si>
  <si>
    <t>convenient</t>
  </si>
  <si>
    <t>domestic</t>
  </si>
  <si>
    <t>mass</t>
  </si>
  <si>
    <t>typical</t>
  </si>
  <si>
    <t>overseas</t>
  </si>
  <si>
    <t>nevertheless</t>
  </si>
  <si>
    <t>demonstrate</t>
  </si>
  <si>
    <t>behave</t>
  </si>
  <si>
    <t>educate</t>
  </si>
  <si>
    <t>purchase</t>
  </si>
  <si>
    <t>recommend</t>
  </si>
  <si>
    <t>admit</t>
  </si>
  <si>
    <t>generate</t>
  </si>
  <si>
    <t>explore</t>
  </si>
  <si>
    <t>amaze</t>
  </si>
  <si>
    <t>tear</t>
  </si>
  <si>
    <t>settle</t>
  </si>
  <si>
    <t>afford</t>
  </si>
  <si>
    <t>conclude</t>
  </si>
  <si>
    <t>advertise</t>
  </si>
  <si>
    <t>encounter</t>
  </si>
  <si>
    <t>remind</t>
  </si>
  <si>
    <t>locate</t>
  </si>
  <si>
    <t>aid</t>
  </si>
  <si>
    <t>bite</t>
  </si>
  <si>
    <t>deliver</t>
  </si>
  <si>
    <t>perceive</t>
  </si>
  <si>
    <t>distinguish</t>
  </si>
  <si>
    <t>imply</t>
  </si>
  <si>
    <t>handle</t>
  </si>
  <si>
    <t>praise</t>
  </si>
  <si>
    <t>appeal</t>
  </si>
  <si>
    <t>insist</t>
  </si>
  <si>
    <t>compete</t>
  </si>
  <si>
    <t>rank</t>
  </si>
  <si>
    <t>deny</t>
  </si>
  <si>
    <t>reject</t>
  </si>
  <si>
    <t>intend</t>
  </si>
  <si>
    <t>expose</t>
  </si>
  <si>
    <t>favor</t>
  </si>
  <si>
    <t>inspire</t>
  </si>
  <si>
    <t>propose</t>
  </si>
  <si>
    <t>spell</t>
  </si>
  <si>
    <t>breathe</t>
  </si>
  <si>
    <t>repair</t>
  </si>
  <si>
    <t>consist</t>
  </si>
  <si>
    <t>comment</t>
  </si>
  <si>
    <t>instruction</t>
  </si>
  <si>
    <t>religion</t>
  </si>
  <si>
    <t>neighborhood</t>
  </si>
  <si>
    <t>laboratory</t>
  </si>
  <si>
    <t>presence</t>
  </si>
  <si>
    <t>confidence</t>
  </si>
  <si>
    <t>harm</t>
  </si>
  <si>
    <t>instrument</t>
  </si>
  <si>
    <t>category</t>
  </si>
  <si>
    <t>capital</t>
  </si>
  <si>
    <t>outcome</t>
  </si>
  <si>
    <t>notion</t>
  </si>
  <si>
    <t>review</t>
  </si>
  <si>
    <t>trait</t>
  </si>
  <si>
    <t>diversity</t>
  </si>
  <si>
    <t>victim</t>
  </si>
  <si>
    <t>occasion</t>
  </si>
  <si>
    <t>facility</t>
  </si>
  <si>
    <t>stock</t>
  </si>
  <si>
    <t>conference</t>
  </si>
  <si>
    <t>humanity</t>
  </si>
  <si>
    <t>dialect</t>
  </si>
  <si>
    <t>proportion</t>
  </si>
  <si>
    <t>tip</t>
  </si>
  <si>
    <t>lawyer</t>
  </si>
  <si>
    <t>stuff</t>
  </si>
  <si>
    <t>comfort</t>
  </si>
  <si>
    <t>philosophy</t>
  </si>
  <si>
    <t>mammal</t>
  </si>
  <si>
    <t>quantity</t>
  </si>
  <si>
    <t>landscape</t>
  </si>
  <si>
    <t>tribe</t>
  </si>
  <si>
    <t>organ</t>
  </si>
  <si>
    <t>trial</t>
  </si>
  <si>
    <t>norm</t>
  </si>
  <si>
    <t>code</t>
  </si>
  <si>
    <t>substance</t>
  </si>
  <si>
    <t>multiple</t>
  </si>
  <si>
    <t>numerous</t>
  </si>
  <si>
    <t>narrow</t>
  </si>
  <si>
    <t>widespread</t>
  </si>
  <si>
    <t>sufficient</t>
  </si>
  <si>
    <t>proper</t>
  </si>
  <si>
    <t>linguistic</t>
  </si>
  <si>
    <t>annual</t>
  </si>
  <si>
    <t>contemporary</t>
  </si>
  <si>
    <t>contrary</t>
  </si>
  <si>
    <t>strict</t>
  </si>
  <si>
    <t>civil</t>
  </si>
  <si>
    <t>odd</t>
  </si>
  <si>
    <t>unknown</t>
  </si>
  <si>
    <t>superior</t>
  </si>
  <si>
    <t>sensitive</t>
  </si>
  <si>
    <t>violent</t>
  </si>
  <si>
    <t>virtual</t>
  </si>
  <si>
    <t>regardless</t>
  </si>
  <si>
    <t>immediate</t>
  </si>
  <si>
    <t>crucial</t>
  </si>
  <si>
    <t>somewhat</t>
  </si>
  <si>
    <t>interpret</t>
  </si>
  <si>
    <t>translate</t>
  </si>
  <si>
    <t>concentrate</t>
  </si>
  <si>
    <t>request</t>
  </si>
  <si>
    <t>criticize</t>
  </si>
  <si>
    <t>overcome</t>
  </si>
  <si>
    <t>obtain</t>
  </si>
  <si>
    <t>inform</t>
  </si>
  <si>
    <t>ensure</t>
  </si>
  <si>
    <t>announce</t>
  </si>
  <si>
    <t>grant</t>
  </si>
  <si>
    <t>freeze</t>
  </si>
  <si>
    <t>oppose</t>
  </si>
  <si>
    <t>differ</t>
  </si>
  <si>
    <t>hate</t>
  </si>
  <si>
    <t>emphasize</t>
  </si>
  <si>
    <t>employ</t>
  </si>
  <si>
    <t>credit</t>
  </si>
  <si>
    <t>transform</t>
  </si>
  <si>
    <t>construct</t>
  </si>
  <si>
    <t>arise</t>
  </si>
  <si>
    <t>beat</t>
  </si>
  <si>
    <t>regret</t>
  </si>
  <si>
    <t>alter</t>
  </si>
  <si>
    <t>absorb</t>
  </si>
  <si>
    <t>disappoint</t>
  </si>
  <si>
    <t>cure</t>
  </si>
  <si>
    <t>transport</t>
  </si>
  <si>
    <t>rush</t>
  </si>
  <si>
    <t>hang</t>
  </si>
  <si>
    <t>blame</t>
  </si>
  <si>
    <t>ban</t>
  </si>
  <si>
    <t>fascinate</t>
  </si>
  <si>
    <t>recover</t>
  </si>
  <si>
    <t>celebrate</t>
  </si>
  <si>
    <t>manufacture</t>
  </si>
  <si>
    <t>interact</t>
  </si>
  <si>
    <t>arrange</t>
  </si>
  <si>
    <t>adjust</t>
  </si>
  <si>
    <t>confirm</t>
  </si>
  <si>
    <t>insight</t>
  </si>
  <si>
    <t>innovation</t>
  </si>
  <si>
    <t>budget</t>
  </si>
  <si>
    <t>fee</t>
  </si>
  <si>
    <t>expense</t>
  </si>
  <si>
    <t>debt</t>
  </si>
  <si>
    <t>loan</t>
  </si>
  <si>
    <t>duty</t>
  </si>
  <si>
    <t>alarm</t>
  </si>
  <si>
    <t>emergency</t>
  </si>
  <si>
    <t>democracy</t>
  </si>
  <si>
    <t>minister</t>
  </si>
  <si>
    <t>fellow</t>
  </si>
  <si>
    <t>candidate</t>
  </si>
  <si>
    <t>corporation</t>
  </si>
  <si>
    <t>stereotype</t>
  </si>
  <si>
    <t>route</t>
  </si>
  <si>
    <t>disorder</t>
  </si>
  <si>
    <t>depression</t>
  </si>
  <si>
    <t>weapon</t>
  </si>
  <si>
    <t>immigration</t>
  </si>
  <si>
    <t>barrier</t>
  </si>
  <si>
    <t>disadvantage</t>
  </si>
  <si>
    <t>mood</t>
  </si>
  <si>
    <t>motion</t>
  </si>
  <si>
    <t>routine</t>
  </si>
  <si>
    <t>discipline</t>
  </si>
  <si>
    <t>myth</t>
  </si>
  <si>
    <t>hypothesis</t>
  </si>
  <si>
    <t>physician</t>
  </si>
  <si>
    <t>client</t>
  </si>
  <si>
    <t>colony</t>
  </si>
  <si>
    <t>statistics</t>
  </si>
  <si>
    <t>grain</t>
  </si>
  <si>
    <t>ingredient</t>
  </si>
  <si>
    <t>treasure</t>
  </si>
  <si>
    <t>contract</t>
  </si>
  <si>
    <t>welfare</t>
  </si>
  <si>
    <t>prime</t>
  </si>
  <si>
    <t>curious</t>
  </si>
  <si>
    <t>dramatic</t>
  </si>
  <si>
    <t>distinct</t>
  </si>
  <si>
    <t>anxious</t>
  </si>
  <si>
    <t>vital</t>
  </si>
  <si>
    <t>conventional</t>
  </si>
  <si>
    <t>abstract</t>
  </si>
  <si>
    <t>minor</t>
  </si>
  <si>
    <t>extraordinary</t>
  </si>
  <si>
    <t>stable</t>
  </si>
  <si>
    <t>flexible</t>
  </si>
  <si>
    <t>brief</t>
  </si>
  <si>
    <t>aggressive</t>
  </si>
  <si>
    <t>visible</t>
  </si>
  <si>
    <t>unexpected</t>
  </si>
  <si>
    <t>ethnic</t>
  </si>
  <si>
    <t>alien</t>
  </si>
  <si>
    <t>initial</t>
  </si>
  <si>
    <t>exact</t>
  </si>
  <si>
    <t>precise</t>
  </si>
  <si>
    <t>latter</t>
  </si>
  <si>
    <t>commit</t>
  </si>
  <si>
    <t>stimulate</t>
  </si>
  <si>
    <t>enhance</t>
  </si>
  <si>
    <t>pursue</t>
  </si>
  <si>
    <t>react</t>
  </si>
  <si>
    <t>disagree</t>
  </si>
  <si>
    <t>stare</t>
  </si>
  <si>
    <t>abandon</t>
  </si>
  <si>
    <t>quit</t>
  </si>
  <si>
    <t>capture</t>
  </si>
  <si>
    <t>transfer</t>
  </si>
  <si>
    <t>bother</t>
  </si>
  <si>
    <t>persuade</t>
  </si>
  <si>
    <t>rent</t>
  </si>
  <si>
    <t>breed</t>
  </si>
  <si>
    <t>invest</t>
  </si>
  <si>
    <t>reserve</t>
  </si>
  <si>
    <t>trace</t>
  </si>
  <si>
    <t>illustrate</t>
  </si>
  <si>
    <t>advise</t>
  </si>
  <si>
    <t>convey</t>
  </si>
  <si>
    <t>attach</t>
  </si>
  <si>
    <t>stretch</t>
  </si>
  <si>
    <t>puzzle</t>
  </si>
  <si>
    <t>disturb</t>
  </si>
  <si>
    <t>crash</t>
  </si>
  <si>
    <t>cope</t>
  </si>
  <si>
    <t>permit</t>
  </si>
  <si>
    <t>impress</t>
  </si>
  <si>
    <t>suspect</t>
  </si>
  <si>
    <t>upset</t>
  </si>
  <si>
    <t>frighten</t>
  </si>
  <si>
    <t>import</t>
  </si>
  <si>
    <t>export</t>
  </si>
  <si>
    <t>investigate</t>
  </si>
  <si>
    <t>monitor</t>
  </si>
  <si>
    <t>calculate</t>
  </si>
  <si>
    <t>eliminate</t>
  </si>
  <si>
    <t>ease</t>
  </si>
  <si>
    <t>launch</t>
  </si>
  <si>
    <t>sequence</t>
  </si>
  <si>
    <t>therapy</t>
  </si>
  <si>
    <t>symptom</t>
  </si>
  <si>
    <t>incident</t>
  </si>
  <si>
    <t>witness</t>
  </si>
  <si>
    <t>sum</t>
  </si>
  <si>
    <t>burden</t>
  </si>
  <si>
    <t>tone</t>
  </si>
  <si>
    <t>honor</t>
  </si>
  <si>
    <t>award</t>
  </si>
  <si>
    <t>priority</t>
  </si>
  <si>
    <t>logic</t>
  </si>
  <si>
    <t>minimum</t>
  </si>
  <si>
    <t>exception</t>
  </si>
  <si>
    <t>clue</t>
  </si>
  <si>
    <t>bond</t>
  </si>
  <si>
    <t>virus</t>
  </si>
  <si>
    <t>surgery</t>
  </si>
  <si>
    <t>insurance</t>
  </si>
  <si>
    <t>frame</t>
  </si>
  <si>
    <t>shelter</t>
  </si>
  <si>
    <t>territory</t>
  </si>
  <si>
    <t>boundary</t>
  </si>
  <si>
    <t>habitat</t>
  </si>
  <si>
    <t>district</t>
  </si>
  <si>
    <t>conservation</t>
  </si>
  <si>
    <t>harvest</t>
  </si>
  <si>
    <t>predator</t>
  </si>
  <si>
    <t>trap</t>
  </si>
  <si>
    <t>trick</t>
  </si>
  <si>
    <t>fault</t>
  </si>
  <si>
    <t>discount</t>
  </si>
  <si>
    <t>bias</t>
  </si>
  <si>
    <t>cooperation</t>
  </si>
  <si>
    <t>patent</t>
  </si>
  <si>
    <t>dialogue</t>
  </si>
  <si>
    <t>component</t>
  </si>
  <si>
    <t>reputation</t>
  </si>
  <si>
    <t>verbal</t>
  </si>
  <si>
    <t>internal</t>
  </si>
  <si>
    <t>solid</t>
  </si>
  <si>
    <t>remote</t>
  </si>
  <si>
    <t>principal</t>
  </si>
  <si>
    <t>sophisticated</t>
  </si>
  <si>
    <t>equivalent</t>
  </si>
  <si>
    <t>rational</t>
  </si>
  <si>
    <t>relevant</t>
  </si>
  <si>
    <t>absolute</t>
  </si>
  <si>
    <t>frequent</t>
  </si>
  <si>
    <t>permanent</t>
  </si>
  <si>
    <t>intense</t>
  </si>
  <si>
    <t>meaningful</t>
  </si>
  <si>
    <t>evil</t>
  </si>
  <si>
    <t>extinct</t>
  </si>
  <si>
    <t>random</t>
  </si>
  <si>
    <t>raw</t>
  </si>
  <si>
    <t>rude</t>
  </si>
  <si>
    <t>mere</t>
  </si>
  <si>
    <t>tropical</t>
  </si>
  <si>
    <t>forth</t>
  </si>
  <si>
    <t>possess</t>
  </si>
  <si>
    <t>dominate</t>
  </si>
  <si>
    <t>guarantee</t>
  </si>
  <si>
    <t>melt</t>
  </si>
  <si>
    <t>embarrass</t>
  </si>
  <si>
    <t>discourage</t>
  </si>
  <si>
    <t>detect</t>
  </si>
  <si>
    <t>devote</t>
  </si>
  <si>
    <t>urge</t>
  </si>
  <si>
    <t>lend</t>
  </si>
  <si>
    <t>restrict</t>
  </si>
  <si>
    <t>isolate</t>
  </si>
  <si>
    <t>accompany</t>
  </si>
  <si>
    <t>exhaust</t>
  </si>
  <si>
    <t>annoy</t>
  </si>
  <si>
    <t>endanger</t>
  </si>
  <si>
    <t>acknowledge</t>
  </si>
  <si>
    <t>admire</t>
  </si>
  <si>
    <t>evaluate</t>
  </si>
  <si>
    <t>declare</t>
  </si>
  <si>
    <t>secure</t>
  </si>
  <si>
    <t>specialize</t>
  </si>
  <si>
    <t>attribute</t>
  </si>
  <si>
    <t>pretend</t>
  </si>
  <si>
    <t>bury</t>
  </si>
  <si>
    <t>reverse</t>
  </si>
  <si>
    <t>resist</t>
  </si>
  <si>
    <t>scare</t>
  </si>
  <si>
    <t>imitate</t>
  </si>
  <si>
    <t>assist</t>
  </si>
  <si>
    <t>resemble</t>
  </si>
  <si>
    <t>retire</t>
  </si>
  <si>
    <t>neglect</t>
  </si>
  <si>
    <t>collapse</t>
  </si>
  <si>
    <t>reform</t>
  </si>
  <si>
    <t>protest</t>
  </si>
  <si>
    <t>owe</t>
  </si>
  <si>
    <t>sustain</t>
  </si>
  <si>
    <t>assign</t>
  </si>
  <si>
    <t>accomplish</t>
  </si>
  <si>
    <t>wisdom</t>
  </si>
  <si>
    <t>literacy</t>
  </si>
  <si>
    <t>heritage</t>
  </si>
  <si>
    <t>mission</t>
  </si>
  <si>
    <t>license</t>
  </si>
  <si>
    <t>elite</t>
  </si>
  <si>
    <t>layer</t>
  </si>
  <si>
    <t>motor</t>
  </si>
  <si>
    <t>protein</t>
  </si>
  <si>
    <t>profession</t>
  </si>
  <si>
    <t>editor</t>
  </si>
  <si>
    <t>agent</t>
  </si>
  <si>
    <t>globe</t>
  </si>
  <si>
    <t>haven</t>
  </si>
  <si>
    <t>row</t>
  </si>
  <si>
    <t>sacrifice</t>
  </si>
  <si>
    <t>means</t>
  </si>
  <si>
    <t>session</t>
  </si>
  <si>
    <t>league</t>
  </si>
  <si>
    <t>contest</t>
  </si>
  <si>
    <t>guard</t>
  </si>
  <si>
    <t>opponent</t>
  </si>
  <si>
    <t>glance</t>
  </si>
  <si>
    <t>divorce</t>
  </si>
  <si>
    <t>tissue</t>
  </si>
  <si>
    <t>liquid</t>
  </si>
  <si>
    <t>inequality</t>
  </si>
  <si>
    <t>prejudice</t>
  </si>
  <si>
    <t>justice</t>
  </si>
  <si>
    <t>guideline</t>
  </si>
  <si>
    <t>platform</t>
  </si>
  <si>
    <t>sector</t>
  </si>
  <si>
    <t>channel</t>
  </si>
  <si>
    <t>glacier</t>
  </si>
  <si>
    <t>primate</t>
  </si>
  <si>
    <t>usage</t>
  </si>
  <si>
    <t>fortune</t>
  </si>
  <si>
    <t>correlation</t>
  </si>
  <si>
    <t>artistic</t>
  </si>
  <si>
    <t>literary</t>
  </si>
  <si>
    <t>classic</t>
  </si>
  <si>
    <t>liberal</t>
  </si>
  <si>
    <t>concrete</t>
  </si>
  <si>
    <t>slight</t>
  </si>
  <si>
    <t>federal</t>
  </si>
  <si>
    <t>primitive</t>
  </si>
  <si>
    <t>unfamiliar</t>
  </si>
  <si>
    <t>subtle</t>
  </si>
  <si>
    <t>plain</t>
  </si>
  <si>
    <t>marine</t>
  </si>
  <si>
    <t>apparent</t>
  </si>
  <si>
    <t>reluctant</t>
  </si>
  <si>
    <t>temporary</t>
  </si>
  <si>
    <t>guilty</t>
  </si>
  <si>
    <t>royal</t>
  </si>
  <si>
    <t>pure</t>
  </si>
  <si>
    <t>incredible</t>
  </si>
  <si>
    <t>eager</t>
  </si>
  <si>
    <t>adequate</t>
  </si>
  <si>
    <t>via</t>
  </si>
  <si>
    <t>assess</t>
  </si>
  <si>
    <t>approve</t>
  </si>
  <si>
    <t>remark</t>
  </si>
  <si>
    <t>pose</t>
  </si>
  <si>
    <t>yield</t>
  </si>
  <si>
    <t>exhibit</t>
  </si>
  <si>
    <t>distribute</t>
  </si>
  <si>
    <t>command</t>
  </si>
  <si>
    <t>occupy</t>
  </si>
  <si>
    <t>pop</t>
  </si>
  <si>
    <t>pile</t>
  </si>
  <si>
    <t>greet</t>
  </si>
  <si>
    <t>apologize</t>
  </si>
  <si>
    <t>frustrate</t>
  </si>
  <si>
    <t>relieve</t>
  </si>
  <si>
    <t>derive</t>
  </si>
  <si>
    <t>deserve</t>
  </si>
  <si>
    <t>peer</t>
  </si>
  <si>
    <t>defeat</t>
  </si>
  <si>
    <t>convert</t>
  </si>
  <si>
    <t>wed</t>
  </si>
  <si>
    <t>delight</t>
  </si>
  <si>
    <t>boost</t>
  </si>
  <si>
    <t>endure</t>
  </si>
  <si>
    <t>correspond</t>
  </si>
  <si>
    <t>impose</t>
  </si>
  <si>
    <t>rescue</t>
  </si>
  <si>
    <t>resolve</t>
  </si>
  <si>
    <t>register</t>
  </si>
  <si>
    <t>interrupt</t>
  </si>
  <si>
    <t>rid</t>
  </si>
  <si>
    <t>prohibit</t>
  </si>
  <si>
    <t>compose</t>
  </si>
  <si>
    <t>misunderstand</t>
  </si>
  <si>
    <t>punish</t>
  </si>
  <si>
    <t>ruin</t>
  </si>
  <si>
    <t>defend</t>
  </si>
  <si>
    <t>embrace</t>
  </si>
  <si>
    <t>modify</t>
  </si>
  <si>
    <t>qualify</t>
  </si>
  <si>
    <t>passion</t>
  </si>
  <si>
    <t>enthusiasm</t>
  </si>
  <si>
    <t>phase</t>
  </si>
  <si>
    <t>mode</t>
  </si>
  <si>
    <t>span</t>
  </si>
  <si>
    <t>gravity</t>
  </si>
  <si>
    <t>orbit</t>
  </si>
  <si>
    <t>asteroid</t>
  </si>
  <si>
    <t>core</t>
  </si>
  <si>
    <t>soul</t>
  </si>
  <si>
    <t>nerve</t>
  </si>
  <si>
    <t>infection</t>
  </si>
  <si>
    <t>mall</t>
  </si>
  <si>
    <t>grocery</t>
  </si>
  <si>
    <t>humor</t>
  </si>
  <si>
    <t>instinct</t>
  </si>
  <si>
    <t>faith</t>
  </si>
  <si>
    <t>courage</t>
  </si>
  <si>
    <t>incentive</t>
  </si>
  <si>
    <t>prospect</t>
  </si>
  <si>
    <t>obstacle</t>
  </si>
  <si>
    <t>architecture</t>
  </si>
  <si>
    <t>stem</t>
  </si>
  <si>
    <t>illusion</t>
  </si>
  <si>
    <t>discrimination</t>
  </si>
  <si>
    <t>shame</t>
  </si>
  <si>
    <t>drought</t>
  </si>
  <si>
    <t>flavor</t>
  </si>
  <si>
    <t>portion</t>
  </si>
  <si>
    <t>recipe</t>
  </si>
  <si>
    <t>luxury</t>
  </si>
  <si>
    <t>chip</t>
  </si>
  <si>
    <t>ritual</t>
  </si>
  <si>
    <t>sake</t>
  </si>
  <si>
    <t>prefecture</t>
  </si>
  <si>
    <t>council</t>
  </si>
  <si>
    <t>administration</t>
  </si>
  <si>
    <t>curriculum</t>
  </si>
  <si>
    <t>precious</t>
  </si>
  <si>
    <t>generous</t>
  </si>
  <si>
    <t>casual</t>
  </si>
  <si>
    <t>optimistic</t>
  </si>
  <si>
    <t>rough</t>
  </si>
  <si>
    <t>unpleasant</t>
  </si>
  <si>
    <t>Arctic</t>
  </si>
  <si>
    <t>ultimate</t>
  </si>
  <si>
    <t>deaf</t>
  </si>
  <si>
    <t>genuine</t>
  </si>
  <si>
    <t>manual</t>
  </si>
  <si>
    <t>mechanical</t>
  </si>
  <si>
    <t>instant</t>
  </si>
  <si>
    <t>spare</t>
  </si>
  <si>
    <t>immune</t>
  </si>
  <si>
    <t>harsh</t>
  </si>
  <si>
    <t>collective</t>
  </si>
  <si>
    <t>inevitable</t>
  </si>
  <si>
    <t>profound</t>
  </si>
  <si>
    <t>steady</t>
  </si>
  <si>
    <t>mature</t>
  </si>
  <si>
    <t>likewise</t>
  </si>
  <si>
    <t>chase</t>
  </si>
  <si>
    <t>sue</t>
  </si>
  <si>
    <t>gaze</t>
  </si>
  <si>
    <t>slip</t>
  </si>
  <si>
    <t>load</t>
  </si>
  <si>
    <t>overwhelm</t>
  </si>
  <si>
    <t>wander</t>
  </si>
  <si>
    <t>float</t>
  </si>
  <si>
    <t>pour</t>
  </si>
  <si>
    <t>substitute</t>
  </si>
  <si>
    <t>pronounce</t>
  </si>
  <si>
    <t>shrink</t>
  </si>
  <si>
    <t>restore</t>
  </si>
  <si>
    <t>trigger</t>
  </si>
  <si>
    <t>grab</t>
  </si>
  <si>
    <t>retain</t>
  </si>
  <si>
    <t>reproduce</t>
  </si>
  <si>
    <t>bob</t>
  </si>
  <si>
    <t>entertain</t>
  </si>
  <si>
    <t>interfere</t>
  </si>
  <si>
    <t>cultivate</t>
  </si>
  <si>
    <t>underlie</t>
  </si>
  <si>
    <t>anticipate</t>
  </si>
  <si>
    <t>justify</t>
  </si>
  <si>
    <t>regulate</t>
  </si>
  <si>
    <t>scan</t>
  </si>
  <si>
    <t>classify</t>
  </si>
  <si>
    <t>submit</t>
  </si>
  <si>
    <t>pause</t>
  </si>
  <si>
    <t>lean</t>
  </si>
  <si>
    <t>bump</t>
  </si>
  <si>
    <t>fold</t>
  </si>
  <si>
    <t>hesitate</t>
  </si>
  <si>
    <t>pump</t>
  </si>
  <si>
    <t>mount</t>
  </si>
  <si>
    <t>exceed</t>
  </si>
  <si>
    <t>undergo</t>
  </si>
  <si>
    <t>confront</t>
  </si>
  <si>
    <t>consult</t>
  </si>
  <si>
    <t>fulfill</t>
  </si>
  <si>
    <t>privilege</t>
  </si>
  <si>
    <t>formation</t>
  </si>
  <si>
    <t>dimension</t>
  </si>
  <si>
    <t>neuron</t>
  </si>
  <si>
    <t>sensation</t>
  </si>
  <si>
    <t>chart</t>
  </si>
  <si>
    <t>geography</t>
  </si>
  <si>
    <t>panel</t>
  </si>
  <si>
    <t>semester</t>
  </si>
  <si>
    <t>workforce</t>
  </si>
  <si>
    <t>mill</t>
  </si>
  <si>
    <t>abuse</t>
  </si>
  <si>
    <t>vice</t>
  </si>
  <si>
    <t>fate</t>
  </si>
  <si>
    <t>tragedy</t>
  </si>
  <si>
    <t>scenario</t>
  </si>
  <si>
    <t>allergy</t>
  </si>
  <si>
    <t>wound</t>
  </si>
  <si>
    <t>antibiotic</t>
  </si>
  <si>
    <t>vaccine</t>
  </si>
  <si>
    <t>metaphor</t>
  </si>
  <si>
    <t>folk</t>
  </si>
  <si>
    <t>fare</t>
  </si>
  <si>
    <t>transition</t>
  </si>
  <si>
    <t>maximum</t>
  </si>
  <si>
    <t>galaxy</t>
  </si>
  <si>
    <t>mineral</t>
  </si>
  <si>
    <t>skeleton</t>
  </si>
  <si>
    <t>counterpart</t>
  </si>
  <si>
    <t>stroke</t>
  </si>
  <si>
    <t>pedestrian</t>
  </si>
  <si>
    <t>trail</t>
  </si>
  <si>
    <t>ecology</t>
  </si>
  <si>
    <t>sibling</t>
  </si>
  <si>
    <t>ratio</t>
  </si>
  <si>
    <t>mixture</t>
  </si>
  <si>
    <t>charm</t>
  </si>
  <si>
    <t>ambition</t>
  </si>
  <si>
    <t>prominent</t>
  </si>
  <si>
    <t>radical</t>
  </si>
  <si>
    <t>prompt</t>
  </si>
  <si>
    <t>informal</t>
  </si>
  <si>
    <t>mutual</t>
  </si>
  <si>
    <t>neutral</t>
  </si>
  <si>
    <t>alert</t>
  </si>
  <si>
    <t>magnetic</t>
  </si>
  <si>
    <t>polar</t>
  </si>
  <si>
    <t>fluent</t>
  </si>
  <si>
    <t>external</t>
  </si>
  <si>
    <t>passive</t>
  </si>
  <si>
    <t>awful</t>
  </si>
  <si>
    <t>unrelated</t>
  </si>
  <si>
    <t>cruel</t>
  </si>
  <si>
    <t>fake</t>
  </si>
  <si>
    <t>vulnerable</t>
  </si>
  <si>
    <t>urgent</t>
  </si>
  <si>
    <t>spiritual</t>
  </si>
  <si>
    <t>modest</t>
  </si>
  <si>
    <t>keen</t>
  </si>
  <si>
    <t>nonetheless</t>
  </si>
  <si>
    <t>negotiate</t>
  </si>
  <si>
    <t>grasp</t>
  </si>
  <si>
    <t>donate</t>
  </si>
  <si>
    <t>arrest</t>
  </si>
  <si>
    <t>crack</t>
  </si>
  <si>
    <t>tap</t>
  </si>
  <si>
    <t>split</t>
  </si>
  <si>
    <t>forecast</t>
  </si>
  <si>
    <t>exclude</t>
  </si>
  <si>
    <t>overlook</t>
  </si>
  <si>
    <t>burst</t>
  </si>
  <si>
    <t>heal</t>
  </si>
  <si>
    <t>forbid</t>
  </si>
  <si>
    <t>install</t>
  </si>
  <si>
    <t>diminish</t>
  </si>
  <si>
    <t>cite</t>
  </si>
  <si>
    <t>quote</t>
  </si>
  <si>
    <t>dispute</t>
  </si>
  <si>
    <t>highlight</t>
  </si>
  <si>
    <t>distract</t>
  </si>
  <si>
    <t>cheat</t>
  </si>
  <si>
    <t>foster</t>
  </si>
  <si>
    <t>obey</t>
  </si>
  <si>
    <t>bend</t>
  </si>
  <si>
    <t>deprive</t>
  </si>
  <si>
    <t>govern</t>
  </si>
  <si>
    <t>log</t>
  </si>
  <si>
    <t>transmit</t>
  </si>
  <si>
    <t>bully</t>
  </si>
  <si>
    <t>leap</t>
  </si>
  <si>
    <t>astonish</t>
  </si>
  <si>
    <t>thrill</t>
  </si>
  <si>
    <t>nod</t>
  </si>
  <si>
    <t>bow</t>
  </si>
  <si>
    <t>blend</t>
  </si>
  <si>
    <t>complicate</t>
  </si>
  <si>
    <t>pitch</t>
  </si>
  <si>
    <t>persist</t>
  </si>
  <si>
    <t>dedicate</t>
  </si>
  <si>
    <t>equip</t>
  </si>
  <si>
    <t>premise</t>
  </si>
  <si>
    <t>input</t>
  </si>
  <si>
    <t>merit</t>
  </si>
  <si>
    <t>sympathy</t>
  </si>
  <si>
    <t>compliment</t>
  </si>
  <si>
    <t>infrastructure</t>
  </si>
  <si>
    <t>ray</t>
  </si>
  <si>
    <t>distress</t>
  </si>
  <si>
    <t>joint</t>
  </si>
  <si>
    <t>expedition</t>
  </si>
  <si>
    <t>adolescent</t>
  </si>
  <si>
    <t>shade</t>
  </si>
  <si>
    <t>jury</t>
  </si>
  <si>
    <t>ethic</t>
  </si>
  <si>
    <t>penalty</t>
  </si>
  <si>
    <t>faculty</t>
  </si>
  <si>
    <t>scheme</t>
  </si>
  <si>
    <t>nutrition</t>
  </si>
  <si>
    <t>particle</t>
  </si>
  <si>
    <t>molecule</t>
  </si>
  <si>
    <t>nationality</t>
  </si>
  <si>
    <t>poll</t>
  </si>
  <si>
    <t>clinic</t>
  </si>
  <si>
    <t>dementia</t>
  </si>
  <si>
    <t>fatigue</t>
  </si>
  <si>
    <t>dilemma</t>
  </si>
  <si>
    <t>queue</t>
  </si>
  <si>
    <t>curve</t>
  </si>
  <si>
    <t>narrative</t>
  </si>
  <si>
    <t>fingerprint</t>
  </si>
  <si>
    <t>file</t>
  </si>
  <si>
    <t>wilderness</t>
  </si>
  <si>
    <t>pesticide</t>
  </si>
  <si>
    <t>panic</t>
  </si>
  <si>
    <t>fabric</t>
  </si>
  <si>
    <t>fantasy</t>
  </si>
  <si>
    <t>fancy</t>
  </si>
  <si>
    <t>virtue</t>
  </si>
  <si>
    <t>grateful</t>
  </si>
  <si>
    <t>valid</t>
  </si>
  <si>
    <t>elaborate</t>
  </si>
  <si>
    <t>moderate</t>
  </si>
  <si>
    <t>dynamic</t>
  </si>
  <si>
    <t>brave</t>
  </si>
  <si>
    <t>brilliant</t>
  </si>
  <si>
    <t>tremendous</t>
  </si>
  <si>
    <t>oral</t>
  </si>
  <si>
    <t>innocent</t>
  </si>
  <si>
    <t>subsequent</t>
  </si>
  <si>
    <t>shallow</t>
  </si>
  <si>
    <t>indifferent</t>
  </si>
  <si>
    <t>inferior</t>
  </si>
  <si>
    <t>awkward</t>
  </si>
  <si>
    <t>obese</t>
  </si>
  <si>
    <t>pregnant</t>
  </si>
  <si>
    <t>intimate</t>
  </si>
  <si>
    <t>medieval</t>
  </si>
  <si>
    <t>sacred</t>
  </si>
  <si>
    <t>simultaneously</t>
  </si>
  <si>
    <t>versus</t>
  </si>
  <si>
    <t>proceed</t>
  </si>
  <si>
    <t>orient</t>
  </si>
  <si>
    <t>surf</t>
  </si>
  <si>
    <t>filter</t>
  </si>
  <si>
    <t>bind</t>
  </si>
  <si>
    <t>resort</t>
  </si>
  <si>
    <t>reinforce</t>
  </si>
  <si>
    <t>accumulate</t>
  </si>
  <si>
    <t>bet</t>
  </si>
  <si>
    <t>advocate</t>
  </si>
  <si>
    <t>constitute</t>
  </si>
  <si>
    <t>undertake</t>
  </si>
  <si>
    <t>grip</t>
  </si>
  <si>
    <t>dismiss</t>
  </si>
  <si>
    <t>fade</t>
  </si>
  <si>
    <t>conceal</t>
  </si>
  <si>
    <t>chew</t>
  </si>
  <si>
    <t>swallow</t>
  </si>
  <si>
    <t>seal</t>
  </si>
  <si>
    <t>migrate</t>
  </si>
  <si>
    <t>exaggerate</t>
  </si>
  <si>
    <t>accuse</t>
  </si>
  <si>
    <t>vanish</t>
  </si>
  <si>
    <t>polish</t>
  </si>
  <si>
    <t>wipe</t>
  </si>
  <si>
    <t>sweep</t>
  </si>
  <si>
    <t>mislead</t>
  </si>
  <si>
    <t>spoil</t>
  </si>
  <si>
    <t>compound</t>
  </si>
  <si>
    <t>explode</t>
  </si>
  <si>
    <t>disgust</t>
  </si>
  <si>
    <t>commute</t>
  </si>
  <si>
    <t>decorate</t>
  </si>
  <si>
    <t>postpone</t>
  </si>
  <si>
    <t>cease</t>
  </si>
  <si>
    <t>compromise</t>
  </si>
  <si>
    <t>elect</t>
  </si>
  <si>
    <t>extract</t>
  </si>
  <si>
    <t>inherit</t>
  </si>
  <si>
    <t>rear</t>
  </si>
  <si>
    <t>empathy</t>
  </si>
  <si>
    <t>cue</t>
  </si>
  <si>
    <t>enterprise</t>
  </si>
  <si>
    <t>output</t>
  </si>
  <si>
    <t>congress</t>
  </si>
  <si>
    <t>millennium</t>
  </si>
  <si>
    <t>mankind</t>
  </si>
  <si>
    <t>Muslim</t>
  </si>
  <si>
    <t>estate</t>
  </si>
  <si>
    <t>landmine</t>
  </si>
  <si>
    <t>caution</t>
  </si>
  <si>
    <t>controversy</t>
  </si>
  <si>
    <t>consensus</t>
  </si>
  <si>
    <t>retail</t>
  </si>
  <si>
    <t>fiber</t>
  </si>
  <si>
    <t>scent</t>
  </si>
  <si>
    <t>beverage</t>
  </si>
  <si>
    <t>supplement</t>
  </si>
  <si>
    <t>diabetes</t>
  </si>
  <si>
    <t>province</t>
  </si>
  <si>
    <t>reef</t>
  </si>
  <si>
    <t>microbe</t>
  </si>
  <si>
    <t>excess</t>
  </si>
  <si>
    <t>gallery</t>
  </si>
  <si>
    <t>fame</t>
  </si>
  <si>
    <t>deadline</t>
  </si>
  <si>
    <t>undergraduate</t>
  </si>
  <si>
    <t>slavery</t>
  </si>
  <si>
    <t>prey</t>
  </si>
  <si>
    <t>mess</t>
  </si>
  <si>
    <t>recession</t>
  </si>
  <si>
    <t>retreat</t>
  </si>
  <si>
    <t>grave</t>
  </si>
  <si>
    <t>column</t>
  </si>
  <si>
    <t>scenery</t>
  </si>
  <si>
    <t>plot</t>
  </si>
  <si>
    <t>sculpture</t>
  </si>
  <si>
    <t>tablet</t>
  </si>
  <si>
    <t>dense</t>
  </si>
  <si>
    <t>exotic</t>
  </si>
  <si>
    <t>acid</t>
  </si>
  <si>
    <t>bitter</t>
  </si>
  <si>
    <t>sensible</t>
  </si>
  <si>
    <t>noble</t>
  </si>
  <si>
    <t>vague</t>
  </si>
  <si>
    <t>parallel</t>
  </si>
  <si>
    <t>tense</t>
  </si>
  <si>
    <t>vertical</t>
  </si>
  <si>
    <t>indigenous</t>
  </si>
  <si>
    <t>aboriginal</t>
  </si>
  <si>
    <t>seasonal</t>
  </si>
  <si>
    <t>abundant</t>
  </si>
  <si>
    <t>hybrid</t>
  </si>
  <si>
    <t>irrelevant</t>
  </si>
  <si>
    <t>ridiculous</t>
  </si>
  <si>
    <t>fairy</t>
  </si>
  <si>
    <t>sensory</t>
  </si>
  <si>
    <t>chronic</t>
  </si>
  <si>
    <t>voluntary</t>
  </si>
  <si>
    <t>inclined</t>
  </si>
  <si>
    <t>infer</t>
  </si>
  <si>
    <t>esteem</t>
  </si>
  <si>
    <t>tackle</t>
  </si>
  <si>
    <t>venture</t>
  </si>
  <si>
    <t>accelerate</t>
  </si>
  <si>
    <t>accustom</t>
  </si>
  <si>
    <t>amuse</t>
  </si>
  <si>
    <t>flourish</t>
  </si>
  <si>
    <t>thrive</t>
  </si>
  <si>
    <t>nurture</t>
  </si>
  <si>
    <t>click</t>
  </si>
  <si>
    <t>spin</t>
  </si>
  <si>
    <t>clip</t>
  </si>
  <si>
    <t>drag</t>
  </si>
  <si>
    <t>cast</t>
  </si>
  <si>
    <t>scatter</t>
  </si>
  <si>
    <t>tempt</t>
  </si>
  <si>
    <t>withdraw</t>
  </si>
  <si>
    <t>yawn</t>
  </si>
  <si>
    <t>blink</t>
  </si>
  <si>
    <t>dye</t>
  </si>
  <si>
    <t>spill</t>
  </si>
  <si>
    <t>irritate</t>
  </si>
  <si>
    <t>insult</t>
  </si>
  <si>
    <t>enforce</t>
  </si>
  <si>
    <t>rob</t>
  </si>
  <si>
    <t>drain</t>
  </si>
  <si>
    <t>suspend</t>
  </si>
  <si>
    <t>drift</t>
  </si>
  <si>
    <t>forgive</t>
  </si>
  <si>
    <t>revise</t>
  </si>
  <si>
    <t>recruit</t>
  </si>
  <si>
    <t>twist</t>
  </si>
  <si>
    <t>crush</t>
  </si>
  <si>
    <t>pin</t>
  </si>
  <si>
    <t>uncover</t>
  </si>
  <si>
    <t>exploit</t>
  </si>
  <si>
    <t>implement</t>
  </si>
  <si>
    <t>integrate</t>
  </si>
  <si>
    <t>incorporate</t>
  </si>
  <si>
    <t>profile</t>
  </si>
  <si>
    <t>appetite</t>
  </si>
  <si>
    <t>impulse</t>
  </si>
  <si>
    <t>script</t>
  </si>
  <si>
    <t>anniversary</t>
  </si>
  <si>
    <t>pension</t>
  </si>
  <si>
    <t>temper</t>
  </si>
  <si>
    <t>cortex</t>
  </si>
  <si>
    <t>syndrome</t>
  </si>
  <si>
    <t>chamber</t>
  </si>
  <si>
    <t>utility</t>
  </si>
  <si>
    <t>cattle</t>
  </si>
  <si>
    <t>herd</t>
  </si>
  <si>
    <t>fluid</t>
  </si>
  <si>
    <t>pity</t>
  </si>
  <si>
    <t>priest</t>
  </si>
  <si>
    <t>acquaintance</t>
  </si>
  <si>
    <t>offspring</t>
  </si>
  <si>
    <t>famine</t>
  </si>
  <si>
    <t>deforestation</t>
  </si>
  <si>
    <t>jail</t>
  </si>
  <si>
    <t>commodity</t>
  </si>
  <si>
    <t>format</t>
  </si>
  <si>
    <t>recipient</t>
  </si>
  <si>
    <t>drill</t>
  </si>
  <si>
    <t>inability</t>
  </si>
  <si>
    <t>republic</t>
  </si>
  <si>
    <t>combat</t>
  </si>
  <si>
    <t>debris</t>
  </si>
  <si>
    <t>bug</t>
  </si>
  <si>
    <t>fraction</t>
  </si>
  <si>
    <t>index</t>
  </si>
  <si>
    <t>intuition</t>
  </si>
  <si>
    <t>motive</t>
  </si>
  <si>
    <t>consent</t>
  </si>
  <si>
    <t>hierarchy</t>
  </si>
  <si>
    <t>monument</t>
  </si>
  <si>
    <t>asset</t>
  </si>
  <si>
    <t>decent</t>
  </si>
  <si>
    <t>competent</t>
  </si>
  <si>
    <t>straightforward</t>
  </si>
  <si>
    <t>cosmetic</t>
  </si>
  <si>
    <t>delicate</t>
  </si>
  <si>
    <t>interior</t>
  </si>
  <si>
    <t>transparent</t>
  </si>
  <si>
    <t>aesthetic</t>
  </si>
  <si>
    <t>deliberate</t>
  </si>
  <si>
    <t>demographic</t>
  </si>
  <si>
    <t>prehistoric</t>
  </si>
  <si>
    <t>innate</t>
  </si>
  <si>
    <t>mild</t>
  </si>
  <si>
    <t>toxic</t>
  </si>
  <si>
    <t>ashamed</t>
  </si>
  <si>
    <t>humble</t>
  </si>
  <si>
    <t>peculiar</t>
  </si>
  <si>
    <t>steep</t>
  </si>
  <si>
    <t>trivial</t>
  </si>
  <si>
    <t>magnificent</t>
  </si>
  <si>
    <t>wireless</t>
  </si>
  <si>
    <t>ongoing</t>
  </si>
  <si>
    <t>assure</t>
  </si>
  <si>
    <t>precede</t>
  </si>
  <si>
    <t>revive</t>
  </si>
  <si>
    <t>compel</t>
  </si>
  <si>
    <t>blossom</t>
  </si>
  <si>
    <t>terrify</t>
  </si>
  <si>
    <t>violate</t>
  </si>
  <si>
    <t>suppress</t>
  </si>
  <si>
    <t>deceive</t>
  </si>
  <si>
    <t>manipulate</t>
  </si>
  <si>
    <t>starve</t>
  </si>
  <si>
    <t>flee</t>
  </si>
  <si>
    <t>whisper</t>
  </si>
  <si>
    <t>yell</t>
  </si>
  <si>
    <t>deposit</t>
  </si>
  <si>
    <t>confine</t>
  </si>
  <si>
    <t>swing</t>
  </si>
  <si>
    <t>prolong</t>
  </si>
  <si>
    <t>depict</t>
  </si>
  <si>
    <t>outline</t>
  </si>
  <si>
    <t>shed</t>
  </si>
  <si>
    <t>emit</t>
  </si>
  <si>
    <t>renew</t>
  </si>
  <si>
    <t>utilize</t>
  </si>
  <si>
    <t>assert</t>
  </si>
  <si>
    <t>strain</t>
  </si>
  <si>
    <t>strive</t>
  </si>
  <si>
    <t>dare</t>
  </si>
  <si>
    <t>boast</t>
  </si>
  <si>
    <t>startle</t>
  </si>
  <si>
    <t>offend</t>
  </si>
  <si>
    <t>compute</t>
  </si>
  <si>
    <t>assemble</t>
  </si>
  <si>
    <t>worsen</t>
  </si>
  <si>
    <t>flip</t>
  </si>
  <si>
    <t>rub</t>
  </si>
  <si>
    <t>descend</t>
  </si>
  <si>
    <t>compensate</t>
  </si>
  <si>
    <t>comprise</t>
  </si>
  <si>
    <t>prevail</t>
  </si>
  <si>
    <t>quest</t>
  </si>
  <si>
    <t>dignity</t>
  </si>
  <si>
    <t>criterion</t>
  </si>
  <si>
    <t>paradox</t>
  </si>
  <si>
    <t>parliament</t>
  </si>
  <si>
    <t>legislation</t>
  </si>
  <si>
    <t>agenda</t>
  </si>
  <si>
    <t>mainstream</t>
  </si>
  <si>
    <t>troop</t>
  </si>
  <si>
    <t>epidemic</t>
  </si>
  <si>
    <t>outbreak</t>
  </si>
  <si>
    <t>chaos</t>
  </si>
  <si>
    <t>nightmare</t>
  </si>
  <si>
    <t>horror</t>
  </si>
  <si>
    <t>cluster</t>
  </si>
  <si>
    <t>pollen</t>
  </si>
  <si>
    <t>hive</t>
  </si>
  <si>
    <t>irrigation</t>
  </si>
  <si>
    <t>dose</t>
  </si>
  <si>
    <t>suicide</t>
  </si>
  <si>
    <t>feast</t>
  </si>
  <si>
    <t>cuisine</t>
  </si>
  <si>
    <t>rumor</t>
  </si>
  <si>
    <t>proverb</t>
  </si>
  <si>
    <t>signature</t>
  </si>
  <si>
    <t>formula</t>
  </si>
  <si>
    <t>tuition</t>
  </si>
  <si>
    <t>intake</t>
  </si>
  <si>
    <t>spectrum</t>
  </si>
  <si>
    <t>kidney</t>
  </si>
  <si>
    <t>gear</t>
  </si>
  <si>
    <t>aisle</t>
  </si>
  <si>
    <t>grief</t>
  </si>
  <si>
    <t>destiny</t>
  </si>
  <si>
    <t>skull</t>
  </si>
  <si>
    <t>tomb</t>
  </si>
  <si>
    <t>monk</t>
  </si>
  <si>
    <t>worship</t>
  </si>
  <si>
    <t>outstanding</t>
  </si>
  <si>
    <t>unprecedented</t>
  </si>
  <si>
    <t>infinite</t>
  </si>
  <si>
    <t>worthwhile</t>
  </si>
  <si>
    <t>indispensable</t>
  </si>
  <si>
    <t>compulsory</t>
  </si>
  <si>
    <t>probable</t>
  </si>
  <si>
    <t>ambiguous</t>
  </si>
  <si>
    <t>obscure</t>
  </si>
  <si>
    <t>skeptical</t>
  </si>
  <si>
    <t>fragile</t>
  </si>
  <si>
    <t>static</t>
  </si>
  <si>
    <t>gradual</t>
  </si>
  <si>
    <t>vocal</t>
  </si>
  <si>
    <t>vivid</t>
  </si>
  <si>
    <t>imperial</t>
  </si>
  <si>
    <t>hostile</t>
  </si>
  <si>
    <t>superficial</t>
  </si>
  <si>
    <t>scarce</t>
  </si>
  <si>
    <t>gross</t>
  </si>
  <si>
    <t>inherent</t>
  </si>
  <si>
    <t>notable</t>
  </si>
  <si>
    <t>update</t>
  </si>
  <si>
    <t>refresh</t>
  </si>
  <si>
    <t>bloom</t>
  </si>
  <si>
    <t>conquer</t>
  </si>
  <si>
    <t>induce</t>
  </si>
  <si>
    <t>attain</t>
  </si>
  <si>
    <t>spray</t>
  </si>
  <si>
    <t>retrieve</t>
  </si>
  <si>
    <t>portray</t>
  </si>
  <si>
    <t>scratch</t>
  </si>
  <si>
    <t>designate</t>
  </si>
  <si>
    <t>contradict</t>
  </si>
  <si>
    <t>sigh</t>
  </si>
  <si>
    <t>disrupt</t>
  </si>
  <si>
    <t>depart</t>
  </si>
  <si>
    <t>navigate</t>
  </si>
  <si>
    <t>beg</t>
  </si>
  <si>
    <t>inhabit</t>
  </si>
  <si>
    <t>diagnose</t>
  </si>
  <si>
    <t>comprehend</t>
  </si>
  <si>
    <t>oblige</t>
  </si>
  <si>
    <t>cram</t>
  </si>
  <si>
    <t>flock</t>
  </si>
  <si>
    <t>underestimate</t>
  </si>
  <si>
    <t>clarify</t>
  </si>
  <si>
    <t>spark</t>
  </si>
  <si>
    <t>seize</t>
  </si>
  <si>
    <t>soar</t>
  </si>
  <si>
    <t>glow</t>
  </si>
  <si>
    <t>disguise</t>
  </si>
  <si>
    <t>distort</t>
  </si>
  <si>
    <t>undermine</t>
  </si>
  <si>
    <t>abolish</t>
  </si>
  <si>
    <t>strip</t>
  </si>
  <si>
    <t>dispose</t>
  </si>
  <si>
    <t>dump</t>
  </si>
  <si>
    <t>weave</t>
  </si>
  <si>
    <t>refine</t>
  </si>
  <si>
    <t>enrich</t>
  </si>
  <si>
    <t>coordinate</t>
  </si>
  <si>
    <t>headline</t>
  </si>
  <si>
    <t>internship</t>
  </si>
  <si>
    <t>outlet</t>
  </si>
  <si>
    <t>remedy</t>
  </si>
  <si>
    <t>pill</t>
  </si>
  <si>
    <t>reception</t>
  </si>
  <si>
    <t>transaction</t>
  </si>
  <si>
    <t>mutation</t>
  </si>
  <si>
    <t>dairy</t>
  </si>
  <si>
    <t>compassion</t>
  </si>
  <si>
    <t>posture</t>
  </si>
  <si>
    <t>curse</t>
  </si>
  <si>
    <t>funeral</t>
  </si>
  <si>
    <t>census</t>
  </si>
  <si>
    <t>encyclopedia</t>
  </si>
  <si>
    <t>cereal</t>
  </si>
  <si>
    <t>fragment</t>
  </si>
  <si>
    <t>patch</t>
  </si>
  <si>
    <t>rubbish</t>
  </si>
  <si>
    <t>maze</t>
  </si>
  <si>
    <t>outlook</t>
  </si>
  <si>
    <t>breakthrough</t>
  </si>
  <si>
    <t>triumph</t>
  </si>
  <si>
    <t>ally</t>
  </si>
  <si>
    <t>spectator</t>
  </si>
  <si>
    <t>sphere</t>
  </si>
  <si>
    <t>county</t>
  </si>
  <si>
    <t>behalf</t>
  </si>
  <si>
    <t>interval</t>
  </si>
  <si>
    <t>circulation</t>
  </si>
  <si>
    <t>blade</t>
  </si>
  <si>
    <t>theft</t>
  </si>
  <si>
    <t>vacuum</t>
  </si>
  <si>
    <t>collision</t>
  </si>
  <si>
    <t>bargain</t>
  </si>
  <si>
    <t>landmark</t>
  </si>
  <si>
    <t>revenue</t>
  </si>
  <si>
    <t>treaty</t>
  </si>
  <si>
    <t>supreme</t>
  </si>
  <si>
    <t>thorough</t>
  </si>
  <si>
    <t>naked</t>
  </si>
  <si>
    <t>sincere</t>
  </si>
  <si>
    <t>tame</t>
  </si>
  <si>
    <t>insufficient</t>
  </si>
  <si>
    <t>dim</t>
  </si>
  <si>
    <t>acute</t>
  </si>
  <si>
    <t>disabled</t>
  </si>
  <si>
    <t>metropolitan</t>
  </si>
  <si>
    <t>monetary</t>
  </si>
  <si>
    <t>alternate</t>
  </si>
  <si>
    <t>partial</t>
  </si>
  <si>
    <t>divine</t>
  </si>
  <si>
    <t>drastic</t>
  </si>
  <si>
    <t>fierce</t>
  </si>
  <si>
    <t>sole</t>
  </si>
  <si>
    <t>spontaneous</t>
  </si>
  <si>
    <t>spatial</t>
  </si>
  <si>
    <t>neat</t>
  </si>
  <si>
    <t>tidy</t>
  </si>
  <si>
    <t>loyal</t>
  </si>
  <si>
    <t>bless</t>
  </si>
  <si>
    <t>regain</t>
  </si>
  <si>
    <t>conform</t>
  </si>
  <si>
    <t>enroll</t>
  </si>
  <si>
    <t>entitle</t>
  </si>
  <si>
    <t>halt</t>
  </si>
  <si>
    <t>provoke</t>
  </si>
  <si>
    <t>invade</t>
  </si>
  <si>
    <t>squeeze</t>
  </si>
  <si>
    <t>crawl</t>
  </si>
  <si>
    <t>digest</t>
  </si>
  <si>
    <t>utter</t>
  </si>
  <si>
    <t>refrain</t>
  </si>
  <si>
    <t>populate</t>
  </si>
  <si>
    <t>accommodate</t>
  </si>
  <si>
    <t>steer</t>
  </si>
  <si>
    <t>drown</t>
  </si>
  <si>
    <t>dip</t>
  </si>
  <si>
    <t>soak</t>
  </si>
  <si>
    <t>stir</t>
  </si>
  <si>
    <t>transplant</t>
  </si>
  <si>
    <t>reassure</t>
  </si>
  <si>
    <t>resume</t>
  </si>
  <si>
    <t>speculate</t>
  </si>
  <si>
    <t>surpass</t>
  </si>
  <si>
    <t>appoint</t>
  </si>
  <si>
    <t>intrigue</t>
  </si>
  <si>
    <t>decay</t>
  </si>
  <si>
    <t>contaminate</t>
  </si>
  <si>
    <t>swell</t>
  </si>
  <si>
    <t>delete</t>
  </si>
  <si>
    <t>tolerate</t>
  </si>
  <si>
    <t>envy</t>
  </si>
  <si>
    <t>pray</t>
  </si>
  <si>
    <t>confess</t>
  </si>
  <si>
    <t>resign</t>
  </si>
  <si>
    <t>dissolve</t>
  </si>
  <si>
    <t>unfold</t>
  </si>
  <si>
    <t>awaken</t>
  </si>
  <si>
    <t>conceive</t>
  </si>
  <si>
    <t>entrepreneur</t>
  </si>
  <si>
    <t>stake</t>
  </si>
  <si>
    <t>surplus</t>
  </si>
  <si>
    <t>inflation</t>
  </si>
  <si>
    <t>sweatshop</t>
  </si>
  <si>
    <t>clash</t>
  </si>
  <si>
    <t>sociology</t>
  </si>
  <si>
    <t>ideology</t>
  </si>
  <si>
    <t>margin</t>
  </si>
  <si>
    <t>realm</t>
  </si>
  <si>
    <t>domain</t>
  </si>
  <si>
    <t>algorithm</t>
  </si>
  <si>
    <t>prairie</t>
  </si>
  <si>
    <t>frontier</t>
  </si>
  <si>
    <t>bullet</t>
  </si>
  <si>
    <t>shield</t>
  </si>
  <si>
    <t>despair</t>
  </si>
  <si>
    <t>radiation</t>
  </si>
  <si>
    <t>placebo</t>
  </si>
  <si>
    <t>nursery</t>
  </si>
  <si>
    <t>spouse</t>
  </si>
  <si>
    <t>makeup</t>
  </si>
  <si>
    <t>mummy</t>
  </si>
  <si>
    <t>flesh</t>
  </si>
  <si>
    <t>limb</t>
  </si>
  <si>
    <t>odor</t>
  </si>
  <si>
    <t>laundry</t>
  </si>
  <si>
    <t>tide</t>
  </si>
  <si>
    <t>questionnaire</t>
  </si>
  <si>
    <t>nonsense</t>
  </si>
  <si>
    <t>revenge</t>
  </si>
  <si>
    <t>intellect</t>
  </si>
  <si>
    <t>hospitality</t>
  </si>
  <si>
    <t>librarian</t>
  </si>
  <si>
    <t>manuscript</t>
  </si>
  <si>
    <t>obsession</t>
  </si>
  <si>
    <t>hygiene</t>
  </si>
  <si>
    <t>paradigm</t>
  </si>
  <si>
    <t>legitimate</t>
  </si>
  <si>
    <t>authentic</t>
  </si>
  <si>
    <t>empirical</t>
  </si>
  <si>
    <t>immense</t>
  </si>
  <si>
    <t>absurd</t>
  </si>
  <si>
    <t>weird</t>
  </si>
  <si>
    <t>accidental</t>
  </si>
  <si>
    <t>uneasy</t>
  </si>
  <si>
    <t>jealous</t>
  </si>
  <si>
    <t>feminine</t>
  </si>
  <si>
    <t>swift</t>
  </si>
  <si>
    <t>hollow</t>
  </si>
  <si>
    <t>crude</t>
  </si>
  <si>
    <t>sore</t>
  </si>
  <si>
    <t>pessimistic</t>
  </si>
  <si>
    <t>vain</t>
  </si>
  <si>
    <t>susceptible</t>
  </si>
  <si>
    <t>edible</t>
  </si>
  <si>
    <t>sheer</t>
  </si>
  <si>
    <t>explicit</t>
  </si>
  <si>
    <t>prone</t>
  </si>
  <si>
    <t>affluent</t>
  </si>
  <si>
    <t>collaborate</t>
  </si>
  <si>
    <t>exert</t>
  </si>
  <si>
    <t>excel</t>
  </si>
  <si>
    <t>prosper</t>
  </si>
  <si>
    <t>surge</t>
  </si>
  <si>
    <t>intervene</t>
  </si>
  <si>
    <t>insert</t>
  </si>
  <si>
    <t>overtake</t>
  </si>
  <si>
    <t>snap</t>
  </si>
  <si>
    <t>carve</t>
  </si>
  <si>
    <t>addict</t>
  </si>
  <si>
    <t>condemn</t>
  </si>
  <si>
    <t>convict</t>
  </si>
  <si>
    <t>dictate</t>
  </si>
  <si>
    <t>prescribe</t>
  </si>
  <si>
    <t>inhibit</t>
  </si>
  <si>
    <t>stray</t>
  </si>
  <si>
    <t>roam</t>
  </si>
  <si>
    <t>enclose</t>
  </si>
  <si>
    <t>execute</t>
  </si>
  <si>
    <t>coincide</t>
  </si>
  <si>
    <t>lag</t>
  </si>
  <si>
    <t>cling</t>
  </si>
  <si>
    <t>erase</t>
  </si>
  <si>
    <t>grind</t>
  </si>
  <si>
    <t>knit</t>
  </si>
  <si>
    <t>inquire</t>
  </si>
  <si>
    <t>betray</t>
  </si>
  <si>
    <t>leak</t>
  </si>
  <si>
    <t>smash</t>
  </si>
  <si>
    <t>bounce</t>
  </si>
  <si>
    <t>sprawl</t>
  </si>
  <si>
    <t>converse</t>
  </si>
  <si>
    <t>recite</t>
  </si>
  <si>
    <t>disregard</t>
  </si>
  <si>
    <t>frown</t>
  </si>
  <si>
    <t>evoke</t>
  </si>
  <si>
    <t>pledge</t>
  </si>
  <si>
    <t>aspire</t>
  </si>
  <si>
    <t>contemplate</t>
  </si>
  <si>
    <t>grace</t>
  </si>
  <si>
    <t>enlightenment</t>
  </si>
  <si>
    <t>commerce</t>
  </si>
  <si>
    <t>draft</t>
  </si>
  <si>
    <t>barrel</t>
  </si>
  <si>
    <t>timber</t>
  </si>
  <si>
    <t>garment</t>
  </si>
  <si>
    <t>thread</t>
  </si>
  <si>
    <t>cabinet</t>
  </si>
  <si>
    <t>bureau</t>
  </si>
  <si>
    <t>autonomy</t>
  </si>
  <si>
    <t>toll</t>
  </si>
  <si>
    <t>discourse</t>
  </si>
  <si>
    <t>superstition</t>
  </si>
  <si>
    <t>glimpse</t>
  </si>
  <si>
    <t>arithmetic</t>
  </si>
  <si>
    <t>glossary</t>
  </si>
  <si>
    <t>archive</t>
  </si>
  <si>
    <t>legacy</t>
  </si>
  <si>
    <t>anthropology</t>
  </si>
  <si>
    <t>rage</t>
  </si>
  <si>
    <t>sorrow</t>
  </si>
  <si>
    <t>psychiatrist</t>
  </si>
  <si>
    <t>ward</t>
  </si>
  <si>
    <t>stall</t>
  </si>
  <si>
    <t>flame</t>
  </si>
  <si>
    <t>moisture</t>
  </si>
  <si>
    <t>irony</t>
  </si>
  <si>
    <t>warrior</t>
  </si>
  <si>
    <t>astronomy</t>
  </si>
  <si>
    <t>probe</t>
  </si>
  <si>
    <t>altitude</t>
  </si>
  <si>
    <t>tumor</t>
  </si>
  <si>
    <t>defect</t>
  </si>
  <si>
    <t>sanitation</t>
  </si>
  <si>
    <t>longevity</t>
  </si>
  <si>
    <t>scope</t>
  </si>
  <si>
    <t>sentiment</t>
  </si>
  <si>
    <t>plausible</t>
  </si>
  <si>
    <t>vigorous</t>
  </si>
  <si>
    <t>masculine</t>
  </si>
  <si>
    <t>rigid</t>
  </si>
  <si>
    <t>adverse</t>
  </si>
  <si>
    <t>coherent</t>
  </si>
  <si>
    <t>literal</t>
  </si>
  <si>
    <t>arbitrary</t>
  </si>
  <si>
    <t>anonymous</t>
  </si>
  <si>
    <t>antique</t>
  </si>
  <si>
    <t>eternal</t>
  </si>
  <si>
    <t>intermediate</t>
  </si>
  <si>
    <t>subordinate</t>
  </si>
  <si>
    <t>gloomy</t>
  </si>
  <si>
    <t>thermal</t>
  </si>
  <si>
    <t>faint</t>
  </si>
  <si>
    <t>naive</t>
  </si>
  <si>
    <t>apt</t>
  </si>
  <si>
    <t>arrogant</t>
  </si>
  <si>
    <t>extrovert</t>
  </si>
  <si>
    <t>conspicuous</t>
  </si>
  <si>
    <t>intact</t>
  </si>
  <si>
    <t>embody</t>
  </si>
  <si>
    <t>illuminate</t>
  </si>
  <si>
    <t>console</t>
  </si>
  <si>
    <t>verify</t>
  </si>
  <si>
    <t>disclose</t>
  </si>
  <si>
    <t>stack</t>
  </si>
  <si>
    <t>rotate</t>
  </si>
  <si>
    <t>constrain</t>
  </si>
  <si>
    <t>hinder</t>
  </si>
  <si>
    <t>withstand</t>
  </si>
  <si>
    <t>tweet</t>
  </si>
  <si>
    <t>sneeze</t>
  </si>
  <si>
    <t>erupt</t>
  </si>
  <si>
    <t>blur</t>
  </si>
  <si>
    <t>overlap</t>
  </si>
  <si>
    <t>embed</t>
  </si>
  <si>
    <t>displace</t>
  </si>
  <si>
    <t>render</t>
  </si>
  <si>
    <t>plunge</t>
  </si>
  <si>
    <t>surrender</t>
  </si>
  <si>
    <t>plug</t>
  </si>
  <si>
    <t>suck</t>
  </si>
  <si>
    <t>mock</t>
  </si>
  <si>
    <t>tease</t>
  </si>
  <si>
    <t>soothe</t>
  </si>
  <si>
    <t>stain</t>
  </si>
  <si>
    <t>shun</t>
  </si>
  <si>
    <t>stumble</t>
  </si>
  <si>
    <t>flush</t>
  </si>
  <si>
    <t>impair</t>
  </si>
  <si>
    <t>presume</t>
  </si>
  <si>
    <t>contend</t>
  </si>
  <si>
    <t>roar</t>
  </si>
  <si>
    <t>haunt</t>
  </si>
  <si>
    <t>divert</t>
  </si>
  <si>
    <t>await</t>
  </si>
  <si>
    <t>fetch</t>
  </si>
  <si>
    <t>unify</t>
  </si>
  <si>
    <t>inspect</t>
  </si>
  <si>
    <t>entail</t>
  </si>
  <si>
    <t>tactics</t>
  </si>
  <si>
    <t>feat</t>
  </si>
  <si>
    <t>prestige</t>
  </si>
  <si>
    <t>analogy</t>
  </si>
  <si>
    <t>conscience</t>
  </si>
  <si>
    <t>textile</t>
  </si>
  <si>
    <t>deficit</t>
  </si>
  <si>
    <t>plague</t>
  </si>
  <si>
    <t>hazard</t>
  </si>
  <si>
    <t>metabolism</t>
  </si>
  <si>
    <t>paralysis</t>
  </si>
  <si>
    <t>grid</t>
  </si>
  <si>
    <t>carriage</t>
  </si>
  <si>
    <t>friction</t>
  </si>
  <si>
    <t>rebel</t>
  </si>
  <si>
    <t>regime</t>
  </si>
  <si>
    <t>monopoly</t>
  </si>
  <si>
    <t>staple</t>
  </si>
  <si>
    <t>merchandise</t>
  </si>
  <si>
    <t>vendor</t>
  </si>
  <si>
    <t>supervisor</t>
  </si>
  <si>
    <t>predecessor</t>
  </si>
  <si>
    <t>personnel</t>
  </si>
  <si>
    <t>vessel</t>
  </si>
  <si>
    <t>liver</t>
  </si>
  <si>
    <t>duration</t>
  </si>
  <si>
    <t>certificate</t>
  </si>
  <si>
    <t>geometry</t>
  </si>
  <si>
    <t>symmetry</t>
  </si>
  <si>
    <t>biography</t>
  </si>
  <si>
    <t>masterpiece</t>
  </si>
  <si>
    <t>rhyme</t>
  </si>
  <si>
    <t>premium</t>
  </si>
  <si>
    <t>breakdown</t>
  </si>
  <si>
    <t>courtesy</t>
  </si>
  <si>
    <t>protocol</t>
  </si>
  <si>
    <t>specimen</t>
  </si>
  <si>
    <t>thesis</t>
  </si>
  <si>
    <t>eligible</t>
  </si>
  <si>
    <t>intrinsic</t>
  </si>
  <si>
    <t>diligent</t>
  </si>
  <si>
    <t>vocational</t>
  </si>
  <si>
    <t>bankrupt</t>
  </si>
  <si>
    <t>stern</t>
  </si>
  <si>
    <t>stubborn</t>
  </si>
  <si>
    <t>maternal</t>
  </si>
  <si>
    <t>fertile</t>
  </si>
  <si>
    <t>ripe</t>
  </si>
  <si>
    <t>stiff</t>
  </si>
  <si>
    <t>obsolete</t>
  </si>
  <si>
    <t>vacant</t>
  </si>
  <si>
    <t>acoustic</t>
  </si>
  <si>
    <t>preliminary</t>
  </si>
  <si>
    <t>approximate</t>
  </si>
  <si>
    <t>implicit</t>
  </si>
  <si>
    <t>punctual</t>
  </si>
  <si>
    <t>compatible</t>
  </si>
  <si>
    <t>ample</t>
  </si>
  <si>
    <t>pervasive</t>
  </si>
  <si>
    <t>ubiquitous</t>
  </si>
  <si>
    <t>deduce</t>
  </si>
  <si>
    <t>simulate</t>
  </si>
  <si>
    <t>merge</t>
  </si>
  <si>
    <t>penetrate</t>
  </si>
  <si>
    <t>cater</t>
  </si>
  <si>
    <t>assault</t>
  </si>
  <si>
    <t>torture</t>
  </si>
  <si>
    <t>bleed</t>
  </si>
  <si>
    <t>erect</t>
  </si>
  <si>
    <t>cherish</t>
  </si>
  <si>
    <t>arouse</t>
  </si>
  <si>
    <t>doom</t>
  </si>
  <si>
    <t>mourn</t>
  </si>
  <si>
    <t>dread</t>
  </si>
  <si>
    <t>nourish</t>
  </si>
  <si>
    <t>inject</t>
  </si>
  <si>
    <t>swear</t>
  </si>
  <si>
    <t>bid</t>
  </si>
  <si>
    <t>corrupt</t>
  </si>
  <si>
    <t>preoccupy</t>
  </si>
  <si>
    <t>browse</t>
  </si>
  <si>
    <t>compile</t>
  </si>
  <si>
    <t>allocate</t>
  </si>
  <si>
    <t>offset</t>
  </si>
  <si>
    <t>restrain</t>
  </si>
  <si>
    <t>comply</t>
  </si>
  <si>
    <t>expire</t>
  </si>
  <si>
    <t>embark</t>
  </si>
  <si>
    <t>flap</t>
  </si>
  <si>
    <t>furnish</t>
  </si>
  <si>
    <t>forge</t>
  </si>
  <si>
    <t>thrust</t>
  </si>
  <si>
    <t>dispatch</t>
  </si>
  <si>
    <t>resent</t>
  </si>
  <si>
    <t>reconcile</t>
  </si>
  <si>
    <t>allege</t>
  </si>
  <si>
    <t>oppress</t>
  </si>
  <si>
    <t>expel</t>
  </si>
  <si>
    <t>ascend</t>
  </si>
  <si>
    <t>commence</t>
  </si>
  <si>
    <t>advent</t>
  </si>
  <si>
    <t>reign</t>
  </si>
  <si>
    <t>diplomacy</t>
  </si>
  <si>
    <t>embassy</t>
  </si>
  <si>
    <t>exile</t>
  </si>
  <si>
    <t>refuge</t>
  </si>
  <si>
    <t>plight</t>
  </si>
  <si>
    <t>solitude</t>
  </si>
  <si>
    <t>fallacy</t>
  </si>
  <si>
    <t>latitude</t>
  </si>
  <si>
    <t>eclipse</t>
  </si>
  <si>
    <t>basin</t>
  </si>
  <si>
    <t>erosion</t>
  </si>
  <si>
    <t>archaeology</t>
  </si>
  <si>
    <t>errand</t>
  </si>
  <si>
    <t>mercy</t>
  </si>
  <si>
    <t>rhetoric</t>
  </si>
  <si>
    <t>verse</t>
  </si>
  <si>
    <t>congestion</t>
  </si>
  <si>
    <t>sewage</t>
  </si>
  <si>
    <t>complement</t>
  </si>
  <si>
    <t>subsidy</t>
  </si>
  <si>
    <t>mortgage</t>
  </si>
  <si>
    <t>attorney</t>
  </si>
  <si>
    <t>outfit</t>
  </si>
  <si>
    <t>bulk</t>
  </si>
  <si>
    <t>reunion</t>
  </si>
  <si>
    <t>synthesis</t>
  </si>
  <si>
    <t>mold</t>
  </si>
  <si>
    <t>thirst</t>
  </si>
  <si>
    <t>greed</t>
  </si>
  <si>
    <t>bribe</t>
  </si>
  <si>
    <t>contempt</t>
  </si>
  <si>
    <t>texture</t>
  </si>
  <si>
    <t>orphan</t>
  </si>
  <si>
    <t>harassment</t>
  </si>
  <si>
    <t>hay</t>
  </si>
  <si>
    <t>doctrine</t>
  </si>
  <si>
    <t>holistic</t>
  </si>
  <si>
    <t>liable</t>
  </si>
  <si>
    <t>earnest</t>
  </si>
  <si>
    <t>intelligible</t>
  </si>
  <si>
    <t>abrupt</t>
  </si>
  <si>
    <t>reckless</t>
  </si>
  <si>
    <t>furious</t>
  </si>
  <si>
    <t>eloquent</t>
  </si>
  <si>
    <t>juvenile</t>
  </si>
  <si>
    <t>notorious</t>
  </si>
  <si>
    <t>timid</t>
  </si>
  <si>
    <t>humid</t>
  </si>
  <si>
    <t>contagious</t>
  </si>
  <si>
    <t>cynical</t>
  </si>
  <si>
    <t>dumb</t>
  </si>
  <si>
    <t>monotonous</t>
  </si>
  <si>
    <t>perpetual</t>
  </si>
  <si>
    <t>dizzy</t>
  </si>
  <si>
    <t>weary</t>
  </si>
  <si>
    <t>numb</t>
  </si>
  <si>
    <t>mortal</t>
  </si>
  <si>
    <t>zealous</t>
  </si>
  <si>
    <r>
      <t>増加する（⇔</t>
    </r>
    <r>
      <rPr>
        <sz val="13"/>
        <color indexed="8"/>
        <rFont val=".AppleSystemUIFont"/>
        <charset val="136"/>
      </rPr>
      <t xml:space="preserve"> decrease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223</t>
    </r>
    <r>
      <rPr>
        <sz val="13"/>
        <color indexed="8"/>
        <rFont val=".Hiragino Kaku Gothic Interface"/>
      </rPr>
      <t>）；を増やす</t>
    </r>
  </si>
  <si>
    <r>
      <t>を意味する；（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する）つもりである（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</t>
    </r>
  </si>
  <si>
    <r>
      <t>を含む（⇔</t>
    </r>
    <r>
      <rPr>
        <sz val="13"/>
        <color indexed="8"/>
        <rFont val=".AppleSystemUIFont"/>
        <charset val="136"/>
      </rPr>
      <t xml:space="preserve"> exclude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1009</t>
    </r>
    <r>
      <rPr>
        <sz val="13"/>
        <color indexed="8"/>
        <rFont val=".Hiragino Kaku Gothic Interface"/>
      </rPr>
      <t>）</t>
    </r>
  </si>
  <si>
    <r>
      <t>を許す；を与える；（～を）考慮に入れる（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</si>
  <si>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r>
      <t>〔受身形で〕心配している；〔受身形で〕（～に）関係する（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）；に関連する</t>
    </r>
  </si>
  <si>
    <r>
      <t>を減らす；を（～に）変える（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</si>
  <si>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に耐える（≒</t>
    </r>
    <r>
      <rPr>
        <sz val="13"/>
        <color indexed="8"/>
        <rFont val=".AppleSystemUIFont"/>
        <charset val="136"/>
      </rPr>
      <t xml:space="preserve"> endure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824</t>
    </r>
    <r>
      <rPr>
        <sz val="13"/>
        <color indexed="8"/>
        <rFont val=".Hiragino Kaku Gothic Interface"/>
      </rPr>
      <t>）；を負う；を産む；を（心に）抱く</t>
    </r>
  </si>
  <si>
    <r>
      <t>に影響を及ぼす（≒</t>
    </r>
    <r>
      <rPr>
        <sz val="13"/>
        <color indexed="8"/>
        <rFont val=".AppleSystemUIFont"/>
        <charset val="136"/>
      </rPr>
      <t xml:space="preserve"> influence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49</t>
    </r>
    <r>
      <rPr>
        <sz val="13"/>
        <color indexed="8"/>
        <rFont val=".Hiragino Kaku Gothic Interface"/>
      </rPr>
      <t>）；を感動させる</t>
    </r>
  </si>
  <si>
    <r>
      <t>〔</t>
    </r>
    <r>
      <rPr>
        <sz val="13"/>
        <color indexed="8"/>
        <rFont val=".AppleSystemUIFont"/>
        <charset val="136"/>
      </rPr>
      <t>deal with</t>
    </r>
    <r>
      <rPr>
        <sz val="13"/>
        <color indexed="8"/>
        <rFont val=".Hiragino Kaku Gothic Interface"/>
      </rPr>
      <t>で〕を処理する；〔</t>
    </r>
    <r>
      <rPr>
        <sz val="13"/>
        <color indexed="8"/>
        <rFont val=".AppleSystemUIFont"/>
        <charset val="136"/>
      </rPr>
      <t>deal in</t>
    </r>
    <r>
      <rPr>
        <sz val="13"/>
        <color indexed="8"/>
        <rFont val=".Hiragino Kaku Gothic Interface"/>
      </rPr>
      <t>で〕を商う；を分配する</t>
    </r>
  </si>
  <si>
    <r>
      <t>を関連づける；（～に）関連する（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</si>
  <si>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を奨励する；を励ます（⇔</t>
    </r>
    <r>
      <rPr>
        <sz val="13"/>
        <color indexed="8"/>
        <rFont val=".AppleSystemUIFont"/>
        <charset val="136"/>
      </rPr>
      <t xml:space="preserve"> discourage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706</t>
    </r>
    <r>
      <rPr>
        <sz val="13"/>
        <color indexed="8"/>
        <rFont val=".Hiragino Kaku Gothic Interface"/>
      </rPr>
      <t>）</t>
    </r>
  </si>
  <si>
    <r>
      <t>を比較する；を（～に）たとえる（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</si>
  <si>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反対する；（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）と言って反対する（</t>
    </r>
    <r>
      <rPr>
        <sz val="13"/>
        <color indexed="8"/>
        <rFont val=".AppleSystemUIFont"/>
        <charset val="136"/>
      </rPr>
      <t>that</t>
    </r>
    <r>
      <rPr>
        <sz val="13"/>
        <color indexed="8"/>
        <rFont val=".Hiragino Kaku Gothic Interface"/>
      </rPr>
      <t>節）</t>
    </r>
  </si>
  <si>
    <r>
      <t>を設立する；（理論など）を（～に基づいて）築く（</t>
    </r>
    <r>
      <rPr>
        <sz val="13"/>
        <color indexed="8"/>
        <rFont val=".AppleSystemUIFont"/>
        <charset val="136"/>
      </rPr>
      <t>on</t>
    </r>
    <r>
      <rPr>
        <sz val="13"/>
        <color indexed="8"/>
        <rFont val=".Hiragino Kaku Gothic Interface"/>
      </rPr>
      <t>）</t>
    </r>
  </si>
  <si>
    <r>
      <t>（～についての）研究，調査（</t>
    </r>
    <r>
      <rPr>
        <sz val="13"/>
        <color indexed="8"/>
        <rFont val=".AppleSystemUIFont"/>
        <charset val="136"/>
      </rPr>
      <t>into / on / in</t>
    </r>
    <r>
      <rPr>
        <sz val="13"/>
        <color indexed="8"/>
        <rFont val=".Hiragino Kaku Gothic Interface"/>
      </rPr>
      <t>）</t>
    </r>
  </si>
  <si>
    <r>
      <t>原因（⇔</t>
    </r>
    <r>
      <rPr>
        <sz val="13"/>
        <color indexed="8"/>
        <rFont val=".AppleSystemUIFont"/>
        <charset val="136"/>
      </rPr>
      <t xml:space="preserve"> effect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48</t>
    </r>
    <r>
      <rPr>
        <sz val="13"/>
        <color indexed="8"/>
        <rFont val=".Hiragino Kaku Gothic Interface"/>
      </rPr>
      <t>）；理由；大義</t>
    </r>
  </si>
  <si>
    <r>
      <t>理由；（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する）根拠（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）；理性；分別</t>
    </r>
  </si>
  <si>
    <r>
      <t>環境（≒</t>
    </r>
    <r>
      <rPr>
        <sz val="13"/>
        <color indexed="8"/>
        <rFont val=".AppleSystemUIFont"/>
        <charset val="136"/>
      </rPr>
      <t xml:space="preserve"> surroundings</t>
    </r>
    <r>
      <rPr>
        <sz val="13"/>
        <color indexed="8"/>
        <rFont val=".Hiragino Kaku Gothic Interface"/>
      </rPr>
      <t>）</t>
    </r>
  </si>
  <si>
    <r>
      <t>事柄；問題；〔～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〕事態；〔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～〕困難；物質</t>
    </r>
  </si>
  <si>
    <r>
      <t>（～についての）見解（</t>
    </r>
    <r>
      <rPr>
        <sz val="13"/>
        <color indexed="8"/>
        <rFont val=".AppleSystemUIFont"/>
        <charset val="136"/>
      </rPr>
      <t>on / about</t>
    </r>
    <r>
      <rPr>
        <sz val="13"/>
        <color indexed="8"/>
        <rFont val=".Hiragino Kaku Gothic Interface"/>
      </rPr>
      <t>）；（～に対する）（特定の）見方（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）；眺め</t>
    </r>
  </si>
  <si>
    <r>
      <t>価値；価格；評価；〔～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〕価値観</t>
    </r>
  </si>
  <si>
    <r>
      <t>記憶（力）；（～の）思い出（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</si>
  <si>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r>
      <t>（～を対象とする）実験（</t>
    </r>
    <r>
      <rPr>
        <sz val="13"/>
        <color indexed="8"/>
        <rFont val=".AppleSystemUIFont"/>
        <charset val="136"/>
      </rPr>
      <t>on</t>
    </r>
    <r>
      <rPr>
        <sz val="13"/>
        <color indexed="8"/>
        <rFont val=".Hiragino Kaku Gothic Interface"/>
      </rPr>
      <t>）</t>
    </r>
  </si>
  <si>
    <r>
      <t>質（⇔</t>
    </r>
    <r>
      <rPr>
        <sz val="13"/>
        <color indexed="8"/>
        <rFont val=".AppleSystemUIFont"/>
        <charset val="136"/>
      </rPr>
      <t xml:space="preserve"> quantity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471</t>
    </r>
    <r>
      <rPr>
        <sz val="13"/>
        <color indexed="8"/>
        <rFont val=".Hiragino Kaku Gothic Interface"/>
      </rPr>
      <t>）；特質</t>
    </r>
  </si>
  <si>
    <r>
      <t>（専門）用語；〔～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〕条件；〔～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〕間柄；学期</t>
    </r>
  </si>
  <si>
    <r>
      <t>（～の）源，根源（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）；出所，情報源</t>
    </r>
  </si>
  <si>
    <r>
      <t>（～に）適切な（</t>
    </r>
    <r>
      <rPr>
        <sz val="13"/>
        <color indexed="8"/>
        <rFont val=".AppleSystemUIFont"/>
        <charset val="136"/>
      </rPr>
      <t>for / to</t>
    </r>
    <r>
      <rPr>
        <sz val="13"/>
        <color indexed="8"/>
        <rFont val=".Hiragino Kaku Gothic Interface"/>
      </rPr>
      <t>）</t>
    </r>
  </si>
  <si>
    <r>
      <t>ありそうな（⇔</t>
    </r>
    <r>
      <rPr>
        <sz val="13"/>
        <color indexed="8"/>
        <rFont val=".AppleSystemUIFont"/>
        <charset val="136"/>
      </rPr>
      <t xml:space="preserve"> unlikely </t>
    </r>
    <r>
      <rPr>
        <sz val="13"/>
        <color indexed="8"/>
        <rFont val=".Hiragino Kaku Gothic Interface"/>
      </rPr>
      <t>ありそうもない）</t>
    </r>
  </si>
  <si>
    <r>
      <t>公の（⇔</t>
    </r>
    <r>
      <rPr>
        <sz val="13"/>
        <color indexed="8"/>
        <rFont val=".AppleSystemUIFont"/>
        <charset val="136"/>
      </rPr>
      <t xml:space="preserve"> private </t>
    </r>
    <r>
      <rPr>
        <sz val="13"/>
        <color indexed="8"/>
        <rFont val=".Hiragino Kaku Gothic Interface"/>
      </rPr>
      <t>私的な）；公衆の；公開の</t>
    </r>
  </si>
  <si>
    <r>
      <t>特定の；特別の；（～について）やかましい（</t>
    </r>
    <r>
      <rPr>
        <sz val="13"/>
        <color indexed="8"/>
        <rFont val=".AppleSystemUIFont"/>
        <charset val="136"/>
      </rPr>
      <t>about</t>
    </r>
    <r>
      <rPr>
        <sz val="13"/>
        <color indexed="8"/>
        <rFont val=".Hiragino Kaku Gothic Interface"/>
      </rPr>
      <t>）</t>
    </r>
  </si>
  <si>
    <r>
      <t>身体の（⇔</t>
    </r>
    <r>
      <rPr>
        <sz val="13"/>
        <color indexed="8"/>
        <rFont val=".AppleSystemUIFont"/>
        <charset val="136"/>
      </rPr>
      <t xml:space="preserve"> mental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183</t>
    </r>
    <r>
      <rPr>
        <sz val="13"/>
        <color indexed="8"/>
        <rFont val=".Hiragino Kaku Gothic Interface"/>
      </rPr>
      <t>）；物質的な；物理学の</t>
    </r>
  </si>
  <si>
    <r>
      <t>～にもかかわらず（≒</t>
    </r>
    <r>
      <rPr>
        <sz val="13"/>
        <color indexed="8"/>
        <rFont val=".AppleSystemUIFont"/>
        <charset val="136"/>
      </rPr>
      <t xml:space="preserve"> in spite of</t>
    </r>
    <r>
      <rPr>
        <sz val="13"/>
        <color indexed="8"/>
        <rFont val=".Hiragino Kaku Gothic Interface"/>
      </rPr>
      <t>）</t>
    </r>
  </si>
  <si>
    <r>
      <t>かなと思う；（に）驚く（</t>
    </r>
    <r>
      <rPr>
        <sz val="13"/>
        <color indexed="8"/>
        <rFont val=".AppleSystemUIFont"/>
        <charset val="136"/>
      </rPr>
      <t>at</t>
    </r>
    <r>
      <rPr>
        <sz val="13"/>
        <color indexed="8"/>
        <rFont val=".Hiragino Kaku Gothic Interface"/>
      </rPr>
      <t>）</t>
    </r>
  </si>
  <si>
    <r>
      <t>と主張する（≒</t>
    </r>
    <r>
      <rPr>
        <sz val="13"/>
        <color indexed="8"/>
        <rFont val=".AppleSystemUIFont"/>
        <charset val="136"/>
      </rPr>
      <t xml:space="preserve"> claim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110, maintain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206</t>
    </r>
    <r>
      <rPr>
        <sz val="13"/>
        <color indexed="8"/>
        <rFont val=".Hiragino Kaku Gothic Interface"/>
      </rPr>
      <t>）；議論する</t>
    </r>
  </si>
  <si>
    <r>
      <t>を準備する；を調理する；（～のために）準備をする（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</si>
  <si>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r>
      <t>を適用［応用］する；申し込む；（～に）適用される（</t>
    </r>
    <r>
      <rPr>
        <sz val="13"/>
        <color indexed="8"/>
        <rFont val=".AppleSystemUIFont"/>
        <charset val="136"/>
      </rPr>
      <t>to / in</t>
    </r>
    <r>
      <rPr>
        <sz val="13"/>
        <color indexed="8"/>
        <rFont val=".Hiragino Kaku Gothic Interface"/>
      </rPr>
      <t>）</t>
    </r>
  </si>
  <si>
    <r>
      <t>（～と）情報交換をする（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）；を伝達する</t>
    </r>
  </si>
  <si>
    <r>
      <t>機会（≒</t>
    </r>
    <r>
      <rPr>
        <sz val="13"/>
        <color indexed="8"/>
        <rFont val=".AppleSystemUIFont"/>
        <charset val="136"/>
      </rPr>
      <t xml:space="preserve"> chance</t>
    </r>
    <r>
      <rPr>
        <sz val="13"/>
        <color indexed="8"/>
        <rFont val=".Hiragino Kaku Gothic Interface"/>
      </rPr>
      <t>）</t>
    </r>
  </si>
  <si>
    <r>
      <t>産業；勤勉（≒</t>
    </r>
    <r>
      <rPr>
        <sz val="13"/>
        <color indexed="8"/>
        <rFont val=".AppleSystemUIFont"/>
        <charset val="136"/>
      </rPr>
      <t xml:space="preserve"> diligence</t>
    </r>
    <r>
      <rPr>
        <sz val="13"/>
        <color indexed="8"/>
        <rFont val=".Hiragino Kaku Gothic Interface"/>
      </rPr>
      <t>）</t>
    </r>
  </si>
  <si>
    <r>
      <t>10</t>
    </r>
    <r>
      <rPr>
        <sz val="13"/>
        <color indexed="8"/>
        <rFont val=".Hiragino Kaku Gothic Interface"/>
      </rPr>
      <t>年間</t>
    </r>
  </si>
  <si>
    <r>
      <t>損害，損傷；〔～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〕損害賠償金</t>
    </r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</si>
  <si>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〕資源；〔通例～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〕資金；才覚</t>
    </r>
  </si>
  <si>
    <r>
      <t>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〕詳細（な情報），細部</t>
    </r>
  </si>
  <si>
    <r>
      <t>特徴；〔通例～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〕顔つき；特集記事［番組］</t>
    </r>
  </si>
  <si>
    <r>
      <t>関連，つながり；（</t>
    </r>
    <r>
      <rPr>
        <sz val="13"/>
        <color indexed="8"/>
        <rFont val=".AppleSystemUIFont"/>
        <charset val="136"/>
      </rPr>
      <t>2</t>
    </r>
    <r>
      <rPr>
        <sz val="13"/>
        <color indexed="8"/>
        <rFont val=".Hiragino Kaku Gothic Interface"/>
      </rPr>
      <t>地点を結ぶ）交通手段；リンク</t>
    </r>
  </si>
  <si>
    <r>
      <t>特定の；明確な，具体的な；（～に）特有の（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</si>
  <si>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（～に）必要不可欠な（</t>
    </r>
    <r>
      <rPr>
        <sz val="13"/>
        <color indexed="8"/>
        <rFont val=".AppleSystemUIFont"/>
        <charset val="136"/>
      </rPr>
      <t>to / for</t>
    </r>
    <r>
      <rPr>
        <sz val="13"/>
        <color indexed="8"/>
        <rFont val=".Hiragino Kaku Gothic Interface"/>
      </rPr>
      <t>）；本質的な</t>
    </r>
  </si>
  <si>
    <r>
      <t>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する）に値する（</t>
    </r>
    <r>
      <rPr>
        <sz val="13"/>
        <color indexed="8"/>
        <rFont val=".AppleSystemUIFont"/>
        <charset val="136"/>
      </rPr>
      <t>doing</t>
    </r>
    <r>
      <rPr>
        <sz val="13"/>
        <color indexed="8"/>
        <rFont val=".Hiragino Kaku Gothic Interface"/>
      </rPr>
      <t>）；の価値がある</t>
    </r>
  </si>
  <si>
    <r>
      <t>必要な（≒</t>
    </r>
    <r>
      <rPr>
        <sz val="13"/>
        <color indexed="8"/>
        <rFont val=".AppleSystemUIFont"/>
        <charset val="136"/>
      </rPr>
      <t xml:space="preserve"> essential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186</t>
    </r>
    <r>
      <rPr>
        <sz val="13"/>
        <color indexed="8"/>
        <rFont val=".Hiragino Kaku Gothic Interface"/>
      </rPr>
      <t>）</t>
    </r>
  </si>
  <si>
    <r>
      <t>を特定する；を（～と）同一視する（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</si>
  <si>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を表す；を代表する；に相当する</t>
  </si>
  <si>
    <t>を指し示す；を述べる</t>
  </si>
  <si>
    <t>をなんとか成し遂げる；を管理する</t>
  </si>
  <si>
    <r>
      <t>に出席する；（を）世話する；（～に）対処［対応］する（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</si>
  <si>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を維持する；と主張する；を養う</t>
  </si>
  <si>
    <t>を調査する；をじろじろ見る；を概観する</t>
  </si>
  <si>
    <t>に取って代わる；を取り替える</t>
  </si>
  <si>
    <r>
      <t>を（～に）分類する（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）；を（～から）えり分ける（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</t>
    </r>
  </si>
  <si>
    <t>（調査・実験など）を実施する；を導く</t>
  </si>
  <si>
    <r>
      <t>を結び付けて考える；（～と）交際する（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</si>
  <si>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を試みる，企てる</t>
  </si>
  <si>
    <t>を促進する；〔通例受身形で〕昇進する</t>
  </si>
  <si>
    <t>を稼ぐ；を得る；をもたらす</t>
  </si>
  <si>
    <t>を団結させる；（を）結合する；団結する</t>
  </si>
  <si>
    <r>
      <t>に食べ物［乳］を与える；に（～を）供給［補給］する（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）；餌を食べる</t>
    </r>
  </si>
  <si>
    <t>を追い求める；（助けなど）を要請する</t>
  </si>
  <si>
    <t>に気づく；を観察する；を遵守する</t>
  </si>
  <si>
    <t>を明らかにする；を見せる</t>
  </si>
  <si>
    <t>と推定する；を見積もる；を評価する</t>
  </si>
  <si>
    <t>を反映する；（を）反射する；（を）熟考する</t>
  </si>
  <si>
    <t>を引きつける</t>
  </si>
  <si>
    <r>
      <t>減少する（⇔</t>
    </r>
    <r>
      <rPr>
        <sz val="13"/>
        <color indexed="8"/>
        <rFont val=".AppleSystemUIFont"/>
        <charset val="136"/>
      </rPr>
      <t xml:space="preserve"> increase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2</t>
    </r>
    <r>
      <rPr>
        <sz val="13"/>
        <color indexed="8"/>
        <rFont val=".Hiragino Kaku Gothic Interface"/>
      </rPr>
      <t>）；を減らす</t>
    </r>
  </si>
  <si>
    <t>を無視する</t>
  </si>
  <si>
    <t>（と）合う；に匹敵する；一致する</t>
  </si>
  <si>
    <t>を定義する；を明確にする</t>
  </si>
  <si>
    <r>
      <t>適応する；を（～に）適合させる（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</si>
  <si>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貢献する，一因となる；（を）寄付する；（を）寄稿する</t>
  </si>
  <si>
    <t>（を）交換する；両替する</t>
  </si>
  <si>
    <t>を示す；を発揮する；を展示［陳列］する</t>
  </si>
  <si>
    <t>反応する；答える</t>
  </si>
  <si>
    <r>
      <t>を隠す（≒</t>
    </r>
    <r>
      <rPr>
        <sz val="13"/>
        <color indexed="8"/>
        <rFont val=".AppleSystemUIFont"/>
        <charset val="136"/>
      </rPr>
      <t xml:space="preserve"> conceal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1116</t>
    </r>
    <r>
      <rPr>
        <sz val="13"/>
        <color indexed="8"/>
        <rFont val=".Hiragino Kaku Gothic Interface"/>
      </rPr>
      <t>）；隠れる</t>
    </r>
  </si>
  <si>
    <t>ではないと思う；を疑う</t>
  </si>
  <si>
    <t>を取り除く；を解雇する</t>
  </si>
  <si>
    <t>（ねじなど）を巻く；（道などが）曲がりくねる；巻きつく</t>
  </si>
  <si>
    <t>を当然のことと思う，と仮定する；（権力など）を手に入れる；（責任など）を引き受ける</t>
  </si>
  <si>
    <t>くつろぐ；緩む；をくつろがせる；を緩める</t>
  </si>
  <si>
    <t>を満足させる；（条件など）を満たす</t>
  </si>
  <si>
    <t>を強く望む</t>
  </si>
  <si>
    <r>
      <t>（～に）成功する（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）；（～を）継承する（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</si>
  <si>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概念；考え；（商品・販売の）コンセプト</t>
  </si>
  <si>
    <t>流行，ファッション；方法，流儀</t>
  </si>
  <si>
    <t>装置，機器；方策；デバイス</t>
  </si>
  <si>
    <t>料金；世話；管理；告発</t>
  </si>
  <si>
    <r>
      <t>（～との）対照（</t>
    </r>
    <r>
      <rPr>
        <sz val="13"/>
        <color indexed="8"/>
        <rFont val=".AppleSystemUIFont"/>
        <charset val="136"/>
      </rPr>
      <t>with / to</t>
    </r>
    <r>
      <rPr>
        <sz val="13"/>
        <color indexed="8"/>
        <rFont val=".Hiragino Kaku Gothic Interface"/>
      </rPr>
      <t>）</t>
    </r>
  </si>
  <si>
    <t>（職場の）同僚</t>
  </si>
  <si>
    <r>
      <t>苦痛，痛み；苦悩；〔～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〕骨折り</t>
    </r>
  </si>
  <si>
    <r>
      <t>請求書；【英】勘定書（≒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check</t>
    </r>
    <r>
      <rPr>
        <sz val="13"/>
        <color indexed="8"/>
        <rFont val=".Hiragino Kaku Gothic Interface"/>
      </rPr>
      <t>）；法案</t>
    </r>
  </si>
  <si>
    <t>内容，中身；コンテンツ</t>
  </si>
  <si>
    <t>部門；部分；地区；欄</t>
  </si>
  <si>
    <t>〔集合的に〕聴衆，観客；視聴者</t>
  </si>
  <si>
    <r>
      <t>表面；〔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～〕外見</t>
    </r>
  </si>
  <si>
    <r>
      <t>〔しばしば～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〕作物；収穫高</t>
    </r>
  </si>
  <si>
    <t>話題，トピック；主題</t>
  </si>
  <si>
    <t>技術；技巧；手法</t>
  </si>
  <si>
    <t>地位；状態</t>
  </si>
  <si>
    <t>選択（の自由）；選択肢</t>
  </si>
  <si>
    <t>報酬；報い</t>
  </si>
  <si>
    <t>人種；民族；競争</t>
  </si>
  <si>
    <t>罪，犯罪；違法行為</t>
  </si>
  <si>
    <t>争い；論争；不一致</t>
  </si>
  <si>
    <t>闘い；懸命の努力</t>
  </si>
  <si>
    <t>状況，背景；文脈</t>
  </si>
  <si>
    <t>討論，論争；討論会</t>
  </si>
  <si>
    <t>燃料；勢いを増加させるもの</t>
  </si>
  <si>
    <t>汚染，公害</t>
  </si>
  <si>
    <r>
      <t>（～への）傾向（</t>
    </r>
    <r>
      <rPr>
        <sz val="13"/>
        <color indexed="8"/>
        <rFont val=".AppleSystemUIFont"/>
        <charset val="136"/>
      </rPr>
      <t>toward</t>
    </r>
    <r>
      <rPr>
        <sz val="13"/>
        <color indexed="8"/>
        <rFont val=".Hiragino Kaku Gothic Interface"/>
      </rPr>
      <t>）；流行</t>
    </r>
  </si>
  <si>
    <t>均衡，バランス；（体の）平衡；残高</t>
  </si>
  <si>
    <t>交通；通行；交通［輸送］量；（不正）取引</t>
  </si>
  <si>
    <t>戦略</t>
  </si>
  <si>
    <t>基礎；根拠；基準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</si>
  <si>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〕結果；重大性</t>
    </r>
  </si>
  <si>
    <t>目的，目標；狙い</t>
  </si>
  <si>
    <r>
      <t>祖先（⇔</t>
    </r>
    <r>
      <rPr>
        <sz val="13"/>
        <color indexed="8"/>
        <rFont val=".AppleSystemUIFont"/>
        <charset val="136"/>
      </rPr>
      <t xml:space="preserve"> descendant </t>
    </r>
    <r>
      <rPr>
        <sz val="13"/>
        <color indexed="8"/>
        <rFont val=".Hiragino Kaku Gothic Interface"/>
      </rPr>
      <t>子孫）；原型</t>
    </r>
  </si>
  <si>
    <t>遺伝子</t>
  </si>
  <si>
    <t>跡；軌道；【米】（鉄道の）番線；走路</t>
  </si>
  <si>
    <r>
      <t>革命；回転；（天体の）公転（⇔</t>
    </r>
    <r>
      <rPr>
        <sz val="13"/>
        <color indexed="8"/>
        <rFont val=".AppleSystemUIFont"/>
        <charset val="136"/>
      </rPr>
      <t xml:space="preserve"> rotation </t>
    </r>
    <r>
      <rPr>
        <sz val="13"/>
        <color indexed="8"/>
        <rFont val=".Hiragino Kaku Gothic Interface"/>
      </rPr>
      <t>自転）</t>
    </r>
  </si>
  <si>
    <t>進歩；前進</t>
  </si>
  <si>
    <t>認知の</t>
  </si>
  <si>
    <t>理想的な；観念的な</t>
  </si>
  <si>
    <t>効率的な；有能な</t>
  </si>
  <si>
    <t>普遍的な；宇宙の；万能の</t>
  </si>
  <si>
    <t>莫大な；広大な</t>
  </si>
  <si>
    <t>追加の，余分の；別勘定の</t>
  </si>
  <si>
    <r>
      <t>全体の，全部の（≒</t>
    </r>
    <r>
      <rPr>
        <sz val="13"/>
        <color indexed="8"/>
        <rFont val=".AppleSystemUIFont"/>
        <charset val="136"/>
      </rPr>
      <t xml:space="preserve"> whole</t>
    </r>
    <r>
      <rPr>
        <sz val="13"/>
        <color indexed="8"/>
        <rFont val=".Hiragino Kaku Gothic Interface"/>
      </rPr>
      <t>）；完全な</t>
    </r>
  </si>
  <si>
    <t>精通している；よく知られている</t>
  </si>
  <si>
    <r>
      <t>明らかな（≒</t>
    </r>
    <r>
      <rPr>
        <sz val="13"/>
        <color indexed="8"/>
        <rFont val=".AppleSystemUIFont"/>
        <charset val="136"/>
      </rPr>
      <t xml:space="preserve"> clear</t>
    </r>
    <r>
      <rPr>
        <sz val="13"/>
        <color indexed="8"/>
        <rFont val=".Hiragino Kaku Gothic Interface"/>
      </rPr>
      <t>）</t>
    </r>
  </si>
  <si>
    <t>道徳（上）の，倫理的な；道徳的な</t>
  </si>
  <si>
    <t>一般の，普通の；並の</t>
  </si>
  <si>
    <r>
      <t>（～に）等しい（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）；匹敵する；平等な</t>
    </r>
  </si>
  <si>
    <t>以前の，前の</t>
  </si>
  <si>
    <t>間違った；虚偽の；偽の</t>
  </si>
  <si>
    <t>まれな，珍しい；希少な</t>
  </si>
  <si>
    <r>
      <t>法律の；合法の（⇔</t>
    </r>
    <r>
      <rPr>
        <sz val="13"/>
        <color indexed="8"/>
        <rFont val=".AppleSystemUIFont"/>
        <charset val="136"/>
      </rPr>
      <t xml:space="preserve"> illegal </t>
    </r>
    <r>
      <rPr>
        <sz val="13"/>
        <color indexed="8"/>
        <rFont val=".Hiragino Kaku Gothic Interface"/>
      </rPr>
      <t>違法の）</t>
    </r>
  </si>
  <si>
    <r>
      <t>（～から）独立した（</t>
    </r>
    <r>
      <rPr>
        <sz val="13"/>
        <color indexed="8"/>
        <rFont val=".AppleSystemUIFont"/>
        <charset val="136"/>
      </rPr>
      <t>of / from</t>
    </r>
    <r>
      <rPr>
        <sz val="13"/>
        <color indexed="8"/>
        <rFont val=".Hiragino Kaku Gothic Interface"/>
      </rPr>
      <t>）</t>
    </r>
  </si>
  <si>
    <t>極端な；極度の，過激な</t>
  </si>
  <si>
    <t>実際の，現実の</t>
  </si>
  <si>
    <t>いとわない，かまわないと思う</t>
  </si>
  <si>
    <r>
      <t>都市の；都会的な（⇔</t>
    </r>
    <r>
      <rPr>
        <sz val="13"/>
        <color indexed="8"/>
        <rFont val=".AppleSystemUIFont"/>
        <charset val="136"/>
      </rPr>
      <t xml:space="preserve"> rural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387</t>
    </r>
    <r>
      <rPr>
        <sz val="13"/>
        <color indexed="8"/>
        <rFont val=".Hiragino Kaku Gothic Interface"/>
      </rPr>
      <t>）</t>
    </r>
  </si>
  <si>
    <t>～するのに（対し），～する一方</t>
  </si>
  <si>
    <t>を予言［予測］する</t>
  </si>
  <si>
    <t>を調べる；を診察する；を尋問する</t>
  </si>
  <si>
    <t>を信頼する；を（信頼して）託す</t>
  </si>
  <si>
    <r>
      <t>を動けなくする；を突き刺す；（～に）くっつく（</t>
    </r>
    <r>
      <rPr>
        <sz val="13"/>
        <color indexed="8"/>
        <rFont val=".AppleSystemUIFont"/>
        <charset val="136"/>
      </rPr>
      <t>to / on</t>
    </r>
    <r>
      <rPr>
        <sz val="13"/>
        <color indexed="8"/>
        <rFont val=".Hiragino Kaku Gothic Interface"/>
      </rPr>
      <t>）</t>
    </r>
  </si>
  <si>
    <t>現れる；明らかになる；台頭する</t>
  </si>
  <si>
    <t>さまざまである；変わる；を変える</t>
  </si>
  <si>
    <t>を放出する；を解放する；を発表する</t>
  </si>
  <si>
    <t>を分ける；分かれる</t>
  </si>
  <si>
    <r>
      <t>（人）が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できるようにする；を可能にする</t>
    </r>
  </si>
  <si>
    <t>（を）判断する；に判決を下す</t>
  </si>
  <si>
    <r>
      <t>頼る（≒</t>
    </r>
    <r>
      <rPr>
        <sz val="13"/>
        <color indexed="8"/>
        <rFont val=".AppleSystemUIFont"/>
        <charset val="136"/>
      </rPr>
      <t xml:space="preserve"> depend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36</t>
    </r>
    <r>
      <rPr>
        <sz val="13"/>
        <color indexed="8"/>
        <rFont val=".Hiragino Kaku Gothic Interface"/>
      </rPr>
      <t>）</t>
    </r>
  </si>
  <si>
    <r>
      <t>を従事させる；を（～として）雇う（</t>
    </r>
    <r>
      <rPr>
        <sz val="13"/>
        <color indexed="8"/>
        <rFont val=".AppleSystemUIFont"/>
        <charset val="136"/>
      </rPr>
      <t>as</t>
    </r>
    <r>
      <rPr>
        <sz val="13"/>
        <color indexed="8"/>
        <rFont val=".Hiragino Kaku Gothic Interface"/>
      </rPr>
      <t>）；（～に）従事する（</t>
    </r>
    <r>
      <rPr>
        <sz val="13"/>
        <color indexed="8"/>
        <rFont val=".AppleSystemUIFont"/>
        <charset val="136"/>
      </rPr>
      <t>in / with</t>
    </r>
    <r>
      <rPr>
        <sz val="13"/>
        <color indexed="8"/>
        <rFont val=".Hiragino Kaku Gothic Interface"/>
      </rPr>
      <t>）</t>
    </r>
  </si>
  <si>
    <t>を変える，移す；変わる；移動する</t>
  </si>
  <si>
    <t>を採用する；（態度など）をとる；を養子にする</t>
  </si>
  <si>
    <t>を得る；を習得する</t>
  </si>
  <si>
    <t>（を）拡大する；（を）詳説する</t>
  </si>
  <si>
    <t>を拒む；を断る；拒絶する</t>
  </si>
  <si>
    <t>の心を打つ；を襲う；を打つ；（に）ぶつかる</t>
  </si>
  <si>
    <t>（を）繰り返す；を復唱する</t>
  </si>
  <si>
    <t>を消費する；を食べる，飲む</t>
  </si>
  <si>
    <t>を混同する；を当惑させる</t>
  </si>
  <si>
    <t>を選ぶ，えり抜く</t>
  </si>
  <si>
    <t>（徐々に）発展する；進化する</t>
  </si>
  <si>
    <t>を納得［確信］させる</t>
  </si>
  <si>
    <t>を思い出す；を呼び戻す</t>
  </si>
  <si>
    <t>を破壊する；（人）を破滅させる</t>
  </si>
  <si>
    <t>を保存する；を保持する；を保護する</t>
  </si>
  <si>
    <t>を準備する；を組織する</t>
  </si>
  <si>
    <r>
      <t>（人）に（～を）警告［注意］する（</t>
    </r>
    <r>
      <rPr>
        <sz val="13"/>
        <color indexed="8"/>
        <rFont val=".AppleSystemUIFont"/>
        <charset val="136"/>
      </rPr>
      <t>of / against</t>
    </r>
    <r>
      <rPr>
        <sz val="13"/>
        <color indexed="8"/>
        <rFont val=".Hiragino Kaku Gothic Interface"/>
      </rPr>
      <t>）</t>
    </r>
  </si>
  <si>
    <r>
      <t>（問題など）に対処する；に演説する；（手紙など）を（～宛てに）出す（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</si>
  <si>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を操作する；機能する；手術する</t>
  </si>
  <si>
    <t>参加する</t>
  </si>
  <si>
    <t>を取り巻く；にまつわる</t>
  </si>
  <si>
    <r>
      <t>流れる；（～から）生じる（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</t>
    </r>
  </si>
  <si>
    <t>（人）を退屈させる，うんざりさせる</t>
  </si>
  <si>
    <t>（と）不平［苦情］を言う；訴える</t>
  </si>
  <si>
    <t>を主催する；のホスト役を務める</t>
  </si>
  <si>
    <r>
      <t>を（～と）結び付ける（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）；（～と）結び付く（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</si>
  <si>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を伸［延］ばす；伸びる；及ぶ</t>
  </si>
  <si>
    <t>を正当に評価する；を鑑賞する；を感謝する</t>
  </si>
  <si>
    <t>（到達・攻撃）目標；的</t>
  </si>
  <si>
    <r>
      <t>要素，成分；元素；〔</t>
    </r>
    <r>
      <rPr>
        <sz val="13"/>
        <color indexed="8"/>
        <rFont val=".AppleSystemUIFont"/>
        <charset val="136"/>
      </rPr>
      <t>an / of</t>
    </r>
    <r>
      <rPr>
        <sz val="13"/>
        <color indexed="8"/>
        <rFont val=".Hiragino Kaku Gothic Interface"/>
      </rPr>
      <t>で〕少しの</t>
    </r>
  </si>
  <si>
    <t>原則，原理；主義，信条</t>
  </si>
  <si>
    <t>現象</t>
  </si>
  <si>
    <r>
      <t>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～〕大気；雰囲気</t>
    </r>
  </si>
  <si>
    <t>起源；源</t>
  </si>
  <si>
    <t>個性，性格</t>
  </si>
  <si>
    <t>（最大）容量，収容能力；（潜在）能力</t>
  </si>
  <si>
    <t>利益；収益（率）；得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</si>
  <si>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〕状況，事情；境遇</t>
    </r>
  </si>
  <si>
    <r>
      <t>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〕作法；方法；物腰</t>
    </r>
  </si>
  <si>
    <t>脅威；（悪い）兆し；脅迫</t>
  </si>
  <si>
    <t>居住者；滞在者</t>
  </si>
  <si>
    <t>富；資源；富裕</t>
  </si>
  <si>
    <t>機関；協会；施設；制度</t>
  </si>
  <si>
    <r>
      <t>〔通例</t>
    </r>
    <r>
      <rPr>
        <sz val="13"/>
        <color indexed="8"/>
        <rFont val=".AppleSystemUIFont"/>
        <charset val="136"/>
      </rPr>
      <t xml:space="preserve"> the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ties</t>
    </r>
    <r>
      <rPr>
        <sz val="13"/>
        <color indexed="8"/>
        <rFont val=".Hiragino Kaku Gothic Interface"/>
      </rPr>
      <t>〕（関係）当局；権威；権限</t>
    </r>
  </si>
  <si>
    <r>
      <t>投票；投票結果；〔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～〕選挙権</t>
    </r>
  </si>
  <si>
    <r>
      <t>光景；〔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〕名所；見（え）ること；視野；視力</t>
    </r>
  </si>
  <si>
    <t>運動；軍事行動</t>
  </si>
  <si>
    <r>
      <t>〔しばしば～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〕基金，資金</t>
    </r>
  </si>
  <si>
    <r>
      <t>〔</t>
    </r>
    <r>
      <rPr>
        <sz val="13"/>
        <color indexed="8"/>
        <rFont val=".AppleSystemUIFont"/>
        <charset val="136"/>
      </rPr>
      <t>the W-</t>
    </r>
    <r>
      <rPr>
        <sz val="13"/>
        <color indexed="8"/>
        <rFont val=".Hiragino Kaku Gothic Interface"/>
      </rPr>
      <t>〕ウェブ；（クモの）巣</t>
    </r>
  </si>
  <si>
    <t>象徴，シンボル；記号；標章</t>
  </si>
  <si>
    <r>
      <t>分析（結果）（⇔</t>
    </r>
    <r>
      <rPr>
        <sz val="13"/>
        <color indexed="8"/>
        <rFont val=".AppleSystemUIFont"/>
        <charset val="136"/>
      </rPr>
      <t xml:space="preserve"> synthesis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1868</t>
    </r>
    <r>
      <rPr>
        <sz val="13"/>
        <color indexed="8"/>
        <rFont val=".Hiragino Kaku Gothic Interface"/>
      </rPr>
      <t>）</t>
    </r>
  </si>
  <si>
    <t>（本・製品などの）版；解釈</t>
  </si>
  <si>
    <t>観点，見方；大局観；遠近法</t>
  </si>
  <si>
    <t>危機</t>
  </si>
  <si>
    <t>災害；惨事</t>
  </si>
  <si>
    <t>講義，講演；説教</t>
  </si>
  <si>
    <t>心理学；心理（状態）</t>
  </si>
  <si>
    <t>（社会的・文化的）性，性別</t>
  </si>
  <si>
    <r>
      <t>（社会的な）慣習；〔～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〕税関；〔～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〕関税</t>
    </r>
  </si>
  <si>
    <t>裁判所，法廷；裁判；宮廷；中庭</t>
  </si>
  <si>
    <t>砂漠；不毛の地</t>
  </si>
  <si>
    <t>土地，土壌；（悪事などの）温床</t>
  </si>
  <si>
    <t>農業；農学，畜産</t>
  </si>
  <si>
    <t>化石；時代遅れの人［物］</t>
  </si>
  <si>
    <t>（公）文書，書類；記録，資料</t>
  </si>
  <si>
    <t>語彙</t>
  </si>
  <si>
    <t>聡明な；知能を有する</t>
  </si>
  <si>
    <r>
      <t>意識して，気づいて（≒</t>
    </r>
    <r>
      <rPr>
        <sz val="13"/>
        <color indexed="8"/>
        <rFont val=".AppleSystemUIFont"/>
        <charset val="136"/>
      </rPr>
      <t xml:space="preserve"> aware</t>
    </r>
    <r>
      <rPr>
        <sz val="13"/>
        <color indexed="8"/>
        <rFont val=".Hiragino Kaku Gothic Interface"/>
      </rPr>
      <t>）</t>
    </r>
  </si>
  <si>
    <t>能力がある；有能な</t>
  </si>
  <si>
    <t>正確な；精密な</t>
  </si>
  <si>
    <t>基本的な；必須の</t>
  </si>
  <si>
    <r>
      <t>人工の（⇔</t>
    </r>
    <r>
      <rPr>
        <sz val="13"/>
        <color indexed="8"/>
        <rFont val=".AppleSystemUIFont"/>
        <charset val="136"/>
      </rPr>
      <t xml:space="preserve"> natural </t>
    </r>
    <r>
      <rPr>
        <sz val="13"/>
        <color indexed="8"/>
        <rFont val=".Hiragino Kaku Gothic Interface"/>
      </rPr>
      <t>自然の）；不自然な</t>
    </r>
  </si>
  <si>
    <t>確固たる；堅固な；安定した</t>
  </si>
  <si>
    <t>総合的な；全体的な</t>
  </si>
  <si>
    <r>
      <t>田舎の（⇔</t>
    </r>
    <r>
      <rPr>
        <sz val="13"/>
        <color indexed="8"/>
        <rFont val=".AppleSystemUIFont"/>
        <charset val="136"/>
      </rPr>
      <t xml:space="preserve"> urban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299</t>
    </r>
    <r>
      <rPr>
        <sz val="13"/>
        <color indexed="8"/>
        <rFont val=".Hiragino Kaku Gothic Interface"/>
      </rPr>
      <t>），田園の</t>
    </r>
  </si>
  <si>
    <t>軍の，軍事（用）の</t>
  </si>
  <si>
    <t>核の，原子力の</t>
  </si>
  <si>
    <t>生物学（上）の</t>
  </si>
  <si>
    <t>絶え間ない；一定の</t>
  </si>
  <si>
    <t>（人・規律・事態・天気などが）厳しい；猛烈な</t>
  </si>
  <si>
    <t>視覚の；目に見える</t>
  </si>
  <si>
    <t>莫大な，巨大な</t>
  </si>
  <si>
    <t>便利な，都合のいい</t>
  </si>
  <si>
    <t>家庭の；国内の；（動物が）飼いならされた</t>
  </si>
  <si>
    <t>大規模な，大量の；大衆（向け）の</t>
  </si>
  <si>
    <r>
      <t>典型的な；（～に）特有の（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</si>
  <si>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r>
      <t>海外へ［に，で］（≒</t>
    </r>
    <r>
      <rPr>
        <sz val="13"/>
        <color indexed="8"/>
        <rFont val=".AppleSystemUIFont"/>
        <charset val="136"/>
      </rPr>
      <t xml:space="preserve"> abroad</t>
    </r>
    <r>
      <rPr>
        <sz val="13"/>
        <color indexed="8"/>
        <rFont val=".Hiragino Kaku Gothic Interface"/>
      </rPr>
      <t>）</t>
    </r>
  </si>
  <si>
    <r>
      <t>それにもかかわらず（≒</t>
    </r>
    <r>
      <rPr>
        <sz val="13"/>
        <color indexed="8"/>
        <rFont val=".AppleSystemUIFont"/>
        <charset val="136"/>
      </rPr>
      <t xml:space="preserve"> nonetheless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1000</t>
    </r>
    <r>
      <rPr>
        <sz val="13"/>
        <color indexed="8"/>
        <rFont val=".Hiragino Kaku Gothic Interface"/>
      </rPr>
      <t>）</t>
    </r>
  </si>
  <si>
    <t>を論証［証明］する；デモをする</t>
  </si>
  <si>
    <t>振る舞う；作動する</t>
  </si>
  <si>
    <t>を教育する；に教える；（能力など）を養う</t>
  </si>
  <si>
    <t>を購入する</t>
  </si>
  <si>
    <t>を勧める</t>
  </si>
  <si>
    <r>
      <t>（を）（しぶしぶ）認める；に（～への）入場［入学など］を認める（</t>
    </r>
    <r>
      <rPr>
        <sz val="13"/>
        <color indexed="8"/>
        <rFont val=".AppleSystemUIFont"/>
        <charset val="136"/>
      </rPr>
      <t>to / into</t>
    </r>
    <r>
      <rPr>
        <sz val="13"/>
        <color indexed="8"/>
        <rFont val=".Hiragino Kaku Gothic Interface"/>
      </rPr>
      <t>）</t>
    </r>
  </si>
  <si>
    <t>を生み出す；（電気など）を発生させる</t>
  </si>
  <si>
    <t>（を）調査［探究］する；（を）探検［探査］する</t>
  </si>
  <si>
    <t>をびっくりさせる</t>
  </si>
  <si>
    <t>を引き裂く；裂ける</t>
  </si>
  <si>
    <t>を解決する；（に）移り住む；を落ち着かせる</t>
  </si>
  <si>
    <t>を持つ［する］余裕がある；を与える</t>
  </si>
  <si>
    <t>と結論づける；を締めくくる；を締結する</t>
  </si>
  <si>
    <r>
      <t>を宣伝する；（～を求める）広告を出す（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</si>
  <si>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に遭遇する；に（思いがけず）出会う</t>
  </si>
  <si>
    <t>に思い出させる</t>
  </si>
  <si>
    <t>〔受身形で〕位置する；の位置を探し当てる</t>
  </si>
  <si>
    <r>
      <t>を援助する，助ける（≒</t>
    </r>
    <r>
      <rPr>
        <sz val="13"/>
        <color indexed="8"/>
        <rFont val=".AppleSystemUIFont"/>
        <charset val="136"/>
      </rPr>
      <t xml:space="preserve"> help</t>
    </r>
    <r>
      <rPr>
        <sz val="13"/>
        <color indexed="8"/>
        <rFont val=".Hiragino Kaku Gothic Interface"/>
      </rPr>
      <t>）</t>
    </r>
  </si>
  <si>
    <t>（を）かむ，（に）かみつく；（を）刺す</t>
  </si>
  <si>
    <t>を配達する；（演説・講義）をする；子を産む</t>
  </si>
  <si>
    <t>に気づく；を知覚する；を理解する</t>
  </si>
  <si>
    <t>を区別する</t>
  </si>
  <si>
    <t>を暗に意味する；を必然的に伴う</t>
  </si>
  <si>
    <t>を処理する，扱う；を論じる；を商う</t>
  </si>
  <si>
    <r>
      <t>を（～のことで）賞賛する（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）；賛美する</t>
    </r>
  </si>
  <si>
    <t>訴える；抗議する；（上級審に）上訴する</t>
  </si>
  <si>
    <t>（を）強く主張する；要求する</t>
  </si>
  <si>
    <r>
      <t>競う；〔通例否定文で〕（～に）匹敵する（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</si>
  <si>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を位置づける，評価する；（ある地位に）位置する</t>
  </si>
  <si>
    <t>を否定する；を拒む</t>
  </si>
  <si>
    <t>を拒否する</t>
  </si>
  <si>
    <t>を意図する</t>
  </si>
  <si>
    <t>をさらす；を暴露する；を露出する</t>
  </si>
  <si>
    <t>に賛成する；を好む；をひいきする</t>
  </si>
  <si>
    <t>（人）を奮起させる；を喚起する</t>
  </si>
  <si>
    <t>を提案する；をもくろむ；結婚を申し込む</t>
  </si>
  <si>
    <t>（語）をつづる；という語になる</t>
  </si>
  <si>
    <t>呼吸する；を吸う</t>
  </si>
  <si>
    <r>
      <t>を修理する（≒</t>
    </r>
    <r>
      <rPr>
        <sz val="13"/>
        <color indexed="8"/>
        <rFont val=".AppleSystemUIFont"/>
        <charset val="136"/>
      </rPr>
      <t xml:space="preserve"> fix</t>
    </r>
    <r>
      <rPr>
        <sz val="13"/>
        <color indexed="8"/>
        <rFont val=".Hiragino Kaku Gothic Interface"/>
      </rPr>
      <t>）；を修復する</t>
    </r>
  </si>
  <si>
    <r>
      <t>（～から）成る（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）；（～に）ある（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</t>
    </r>
  </si>
  <si>
    <t>意見，コメント；批判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</si>
  <si>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〕指示；〔～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〕（製品の）使用書</t>
    </r>
  </si>
  <si>
    <t>宗教；信条；信仰（心）</t>
  </si>
  <si>
    <t>地域；近所</t>
  </si>
  <si>
    <t>実験室，研究室</t>
  </si>
  <si>
    <t>存在；出席；面前</t>
  </si>
  <si>
    <t>自信；信頼；秘密</t>
  </si>
  <si>
    <t>害，損害</t>
  </si>
  <si>
    <r>
      <t>器具；楽器（≒</t>
    </r>
    <r>
      <rPr>
        <sz val="13"/>
        <color indexed="8"/>
        <rFont val=".AppleSystemUIFont"/>
        <charset val="136"/>
      </rPr>
      <t xml:space="preserve"> musical instrument</t>
    </r>
    <r>
      <rPr>
        <sz val="13"/>
        <color indexed="8"/>
        <rFont val=".Hiragino Kaku Gothic Interface"/>
      </rPr>
      <t>）</t>
    </r>
  </si>
  <si>
    <t>部類，区分；範疇</t>
  </si>
  <si>
    <r>
      <t>資本；首都；大文字（≒</t>
    </r>
    <r>
      <rPr>
        <sz val="13"/>
        <color indexed="8"/>
        <rFont val=".AppleSystemUIFont"/>
        <charset val="136"/>
      </rPr>
      <t xml:space="preserve"> capital letter</t>
    </r>
    <r>
      <rPr>
        <sz val="13"/>
        <color indexed="8"/>
        <rFont val=".Hiragino Kaku Gothic Interface"/>
      </rPr>
      <t>）</t>
    </r>
  </si>
  <si>
    <r>
      <t>結果（≒</t>
    </r>
    <r>
      <rPr>
        <sz val="13"/>
        <color indexed="8"/>
        <rFont val=".AppleSystemUIFont"/>
        <charset val="136"/>
      </rPr>
      <t xml:space="preserve"> result</t>
    </r>
    <r>
      <rPr>
        <sz val="13"/>
        <color indexed="8"/>
        <rFont val=".Hiragino Kaku Gothic Interface"/>
      </rPr>
      <t>）；成果</t>
    </r>
  </si>
  <si>
    <t>概念，観念；見解；意向</t>
  </si>
  <si>
    <t>（書物などの）論評；再調査；【米】復習</t>
  </si>
  <si>
    <r>
      <t>特性（≒</t>
    </r>
    <r>
      <rPr>
        <sz val="13"/>
        <color indexed="8"/>
        <rFont val=".AppleSystemUIFont"/>
        <charset val="136"/>
      </rPr>
      <t xml:space="preserve"> feature</t>
    </r>
    <r>
      <rPr>
        <sz val="13"/>
        <color indexed="8"/>
        <rFont val=".Hiragino Kaku Gothic Interface"/>
      </rPr>
      <t>）</t>
    </r>
  </si>
  <si>
    <t>多様性；相違点</t>
  </si>
  <si>
    <t>犠牲（者），被害者</t>
  </si>
  <si>
    <t>場合，時；行事；機会</t>
  </si>
  <si>
    <t>施設，設備；機能；才能</t>
  </si>
  <si>
    <t>在庫品；蓄え；株</t>
  </si>
  <si>
    <t>会議；協議</t>
  </si>
  <si>
    <r>
      <t>人類；人間性；人情；〔（</t>
    </r>
    <r>
      <rPr>
        <sz val="13"/>
        <color indexed="8"/>
        <rFont val=".AppleSystemUIFont"/>
        <charset val="136"/>
      </rPr>
      <t>the</t>
    </r>
    <r>
      <rPr>
        <sz val="13"/>
        <color indexed="8"/>
        <rFont val=".Hiragino Kaku Gothic Interface"/>
      </rPr>
      <t>）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ties</t>
    </r>
    <r>
      <rPr>
        <sz val="13"/>
        <color indexed="8"/>
        <rFont val=".Hiragino Kaku Gothic Interface"/>
      </rPr>
      <t>〕人文科学</t>
    </r>
  </si>
  <si>
    <t>方言</t>
  </si>
  <si>
    <t>割合；部分；釣り合い</t>
  </si>
  <si>
    <t>助言，秘訣；チップ；先端</t>
  </si>
  <si>
    <t>弁護士</t>
  </si>
  <si>
    <t>（漠然と）物；素材；素質</t>
  </si>
  <si>
    <t>快適さ；慰め</t>
  </si>
  <si>
    <t>哲学；原理；人生観</t>
  </si>
  <si>
    <t>哺乳動物</t>
  </si>
  <si>
    <r>
      <t>量（⇔</t>
    </r>
    <r>
      <rPr>
        <sz val="13"/>
        <color indexed="8"/>
        <rFont val=".AppleSystemUIFont"/>
        <charset val="136"/>
      </rPr>
      <t xml:space="preserve"> quality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69</t>
    </r>
    <r>
      <rPr>
        <sz val="13"/>
        <color indexed="8"/>
        <rFont val=".Hiragino Kaku Gothic Interface"/>
      </rPr>
      <t>）；分量</t>
    </r>
  </si>
  <si>
    <t>風景；領域；状況</t>
  </si>
  <si>
    <t>部族；仲間</t>
  </si>
  <si>
    <t>器官，臓器；組織；（パイプ）オルガン</t>
  </si>
  <si>
    <t>試み，（品質・性能などの）試験；裁判；試用期間</t>
  </si>
  <si>
    <t>規範；標準</t>
  </si>
  <si>
    <t>規範；暗号；法典</t>
  </si>
  <si>
    <t>物質；実体；趣旨</t>
  </si>
  <si>
    <t>多様な；種々雑多な</t>
  </si>
  <si>
    <t>非常に数の多い</t>
  </si>
  <si>
    <t>狭い；細い；限られた</t>
  </si>
  <si>
    <t>広範囲にわたる；広く普及した</t>
  </si>
  <si>
    <r>
      <t>（～に；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するのに）十分な（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；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</t>
    </r>
  </si>
  <si>
    <r>
      <t>適切な；正式の；〔名詞の後ろで〕主要な；（～に）固有の（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</si>
  <si>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言語の，言語学の</t>
  </si>
  <si>
    <r>
      <t>年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回の，例年の；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年間の</t>
    </r>
  </si>
  <si>
    <t>現代の；同時代の；同年輩の</t>
  </si>
  <si>
    <r>
      <t>（～と）反対の（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</si>
  <si>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（規則などが）厳しい；厳格な</t>
  </si>
  <si>
    <r>
      <t>市民の；民間の；民事の（⇔</t>
    </r>
    <r>
      <rPr>
        <sz val="13"/>
        <color indexed="8"/>
        <rFont val=".AppleSystemUIFont"/>
        <charset val="136"/>
      </rPr>
      <t xml:space="preserve"> criminal </t>
    </r>
    <r>
      <rPr>
        <sz val="13"/>
        <color indexed="8"/>
        <rFont val=".Hiragino Kaku Gothic Interface"/>
      </rPr>
      <t>刑事の）</t>
    </r>
  </si>
  <si>
    <r>
      <t>奇妙な（≒</t>
    </r>
    <r>
      <rPr>
        <sz val="13"/>
        <color indexed="8"/>
        <rFont val=".AppleSystemUIFont"/>
        <charset val="136"/>
      </rPr>
      <t xml:space="preserve"> strange</t>
    </r>
    <r>
      <rPr>
        <sz val="13"/>
        <color indexed="8"/>
        <rFont val=".Hiragino Kaku Gothic Interface"/>
      </rPr>
      <t>）；奇数の</t>
    </r>
  </si>
  <si>
    <r>
      <t>不明の；（～に）知られていない（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），無名の</t>
    </r>
  </si>
  <si>
    <r>
      <t>よりすぐれた（⇔</t>
    </r>
    <r>
      <rPr>
        <sz val="13"/>
        <color indexed="8"/>
        <rFont val=".AppleSystemUIFont"/>
        <charset val="136"/>
      </rPr>
      <t xml:space="preserve"> inferior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1092</t>
    </r>
    <r>
      <rPr>
        <sz val="13"/>
        <color indexed="8"/>
        <rFont val=".Hiragino Kaku Gothic Interface"/>
      </rPr>
      <t>）</t>
    </r>
  </si>
  <si>
    <t>敏感な；神経質な；微妙な</t>
  </si>
  <si>
    <t>（人・気質などが）激しい；暴力的な</t>
  </si>
  <si>
    <t>仮想の；事実上の</t>
  </si>
  <si>
    <r>
      <t>（～に）かまわない，無頓着な（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</si>
  <si>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t>即座の；当面の；すぐそばの；直接の</t>
  </si>
  <si>
    <t>重要な</t>
  </si>
  <si>
    <t>いくぶん，多少</t>
  </si>
  <si>
    <t>を解釈する；（を）通訳する</t>
  </si>
  <si>
    <r>
      <t>を翻訳する；を（～に）変える（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</t>
    </r>
  </si>
  <si>
    <t>（を）集中する</t>
  </si>
  <si>
    <r>
      <t>に（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するように）頼む（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）；を要請する</t>
    </r>
  </si>
  <si>
    <t>を批判する；を批評する</t>
  </si>
  <si>
    <t>を克服する</t>
  </si>
  <si>
    <t>を得る</t>
  </si>
  <si>
    <t>に知らせる；情報を提供する</t>
  </si>
  <si>
    <r>
      <t>を確実にする（≒</t>
    </r>
    <r>
      <rPr>
        <sz val="13"/>
        <color indexed="8"/>
        <rFont val=".AppleSystemUIFont"/>
        <charset val="136"/>
      </rPr>
      <t xml:space="preserve"> make sure</t>
    </r>
    <r>
      <rPr>
        <sz val="13"/>
        <color indexed="8"/>
        <rFont val=".Hiragino Kaku Gothic Interface"/>
      </rPr>
      <t>）；を守る</t>
    </r>
  </si>
  <si>
    <t>を発表［公表］する，知らせる；（物事が）を告げる</t>
  </si>
  <si>
    <t>（人）に（許可・権利など）を与える；を認める</t>
  </si>
  <si>
    <t>凍る；を凍らせる；（計画・資金など）を凍結する</t>
  </si>
  <si>
    <t>に反対する；を対抗［対比］させる</t>
  </si>
  <si>
    <t>異なる</t>
  </si>
  <si>
    <t>をひどく嫌う；を残念に思う</t>
  </si>
  <si>
    <t>を強調する；を重視する</t>
  </si>
  <si>
    <r>
      <t>を雇う（≒</t>
    </r>
    <r>
      <rPr>
        <sz val="13"/>
        <color indexed="8"/>
        <rFont val=".AppleSystemUIFont"/>
        <charset val="136"/>
      </rPr>
      <t xml:space="preserve"> give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 xml:space="preserve"> a job</t>
    </r>
    <r>
      <rPr>
        <sz val="13"/>
        <color indexed="8"/>
        <rFont val=".Hiragino Kaku Gothic Interface"/>
      </rPr>
      <t>）；を使う（≒</t>
    </r>
    <r>
      <rPr>
        <sz val="13"/>
        <color indexed="8"/>
        <rFont val=".AppleSystemUIFont"/>
        <charset val="136"/>
      </rPr>
      <t xml:space="preserve"> use</t>
    </r>
    <r>
      <rPr>
        <sz val="13"/>
        <color indexed="8"/>
        <rFont val=".Hiragino Kaku Gothic Interface"/>
      </rPr>
      <t>）</t>
    </r>
  </si>
  <si>
    <r>
      <t>（功績など）を（～に）帰する（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）；を信じる</t>
    </r>
  </si>
  <si>
    <t>を変える；変わる</t>
  </si>
  <si>
    <r>
      <t>を建設する（＝</t>
    </r>
    <r>
      <rPr>
        <sz val="13"/>
        <color indexed="8"/>
        <rFont val=".AppleSystemUIFont"/>
        <charset val="136"/>
      </rPr>
      <t xml:space="preserve"> build</t>
    </r>
    <r>
      <rPr>
        <sz val="13"/>
        <color indexed="8"/>
        <rFont val=".Hiragino Kaku Gothic Interface"/>
      </rPr>
      <t>）；を構成する</t>
    </r>
  </si>
  <si>
    <t>生じる</t>
  </si>
  <si>
    <t>を打ち負かす；（を）打つ，たたく</t>
  </si>
  <si>
    <t>を後悔する</t>
  </si>
  <si>
    <r>
      <t>を変える；変わる（≒</t>
    </r>
    <r>
      <rPr>
        <sz val="13"/>
        <color indexed="8"/>
        <rFont val=".AppleSystemUIFont"/>
        <charset val="136"/>
      </rPr>
      <t xml:space="preserve"> change</t>
    </r>
    <r>
      <rPr>
        <sz val="13"/>
        <color indexed="8"/>
        <rFont val=".Hiragino Kaku Gothic Interface"/>
      </rPr>
      <t>）</t>
    </r>
  </si>
  <si>
    <t>を吸収する；を併合する；を夢中にさせる</t>
  </si>
  <si>
    <t>を失望させる；（希望など）をくじく</t>
  </si>
  <si>
    <t>を治す；を取り除く；（病気が）治る</t>
  </si>
  <si>
    <t>を輸送する；を運ぶ</t>
  </si>
  <si>
    <t>急いで行く；性急に行動する；をせき立てる</t>
  </si>
  <si>
    <t>を掛ける；を絞首刑にする；垂れ（下が）る</t>
  </si>
  <si>
    <t>を責める；の責任を負わせる</t>
  </si>
  <si>
    <t>を（法的に）禁止する；を締め出す</t>
  </si>
  <si>
    <t>を魅了する</t>
  </si>
  <si>
    <t>回復する；を取り戻す</t>
  </si>
  <si>
    <t>を祝う；を挙行する</t>
  </si>
  <si>
    <t>を製造する；をでっち上げる</t>
  </si>
  <si>
    <t>影響し合う；相互に作用する</t>
  </si>
  <si>
    <t>の段取りをつける；を手配する；を配置する</t>
  </si>
  <si>
    <t>を調整する；を適合させる；順応する</t>
  </si>
  <si>
    <t>を確認する；を裏づける</t>
  </si>
  <si>
    <t>見識，理解（力）；洞察力</t>
  </si>
  <si>
    <t>革新；新機軸</t>
  </si>
  <si>
    <t>予算；経費</t>
  </si>
  <si>
    <t>料金；謝礼</t>
  </si>
  <si>
    <r>
      <t>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〕経費；費用；犠牲</t>
    </r>
  </si>
  <si>
    <t>借金，負債；恩義</t>
  </si>
  <si>
    <t>貸付金，融資；貸すこと</t>
  </si>
  <si>
    <r>
      <t>義務；〔しばしば～</t>
    </r>
    <r>
      <rPr>
        <sz val="13"/>
        <color indexed="8"/>
        <rFont val=".AppleSystemUIFont"/>
        <charset val="136"/>
      </rPr>
      <t>ties</t>
    </r>
    <r>
      <rPr>
        <sz val="13"/>
        <color indexed="8"/>
        <rFont val=".Hiragino Kaku Gothic Interface"/>
      </rPr>
      <t>〕職務；関税</t>
    </r>
  </si>
  <si>
    <t>不安，恐れ；警報装置</t>
  </si>
  <si>
    <t>緊急（事態）</t>
  </si>
  <si>
    <t>民主主義，民主政治；民主国家</t>
  </si>
  <si>
    <t>大臣；（プロテスタント系の）聖職者</t>
  </si>
  <si>
    <t>仲間，同僚；同級生；男</t>
  </si>
  <si>
    <r>
      <t>（～の）候補（者）（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）；志願者</t>
    </r>
  </si>
  <si>
    <t>（大）企業；法人</t>
  </si>
  <si>
    <t>固定観念；決まり文句</t>
  </si>
  <si>
    <r>
      <t>道（筋）；路線，ルート；（～の）手段（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</si>
  <si>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障害，（心身の）不調；混乱</t>
  </si>
  <si>
    <t>憂うつ；うつ病；不況；低気圧</t>
  </si>
  <si>
    <r>
      <t>兵器，武器（≒</t>
    </r>
    <r>
      <rPr>
        <sz val="13"/>
        <color indexed="8"/>
        <rFont val=".AppleSystemUIFont"/>
        <charset val="136"/>
      </rPr>
      <t xml:space="preserve"> arms</t>
    </r>
    <r>
      <rPr>
        <sz val="13"/>
        <color indexed="8"/>
        <rFont val=".Hiragino Kaku Gothic Interface"/>
      </rPr>
      <t>）</t>
    </r>
  </si>
  <si>
    <t>（他国からの）移民，移住；入国管理</t>
  </si>
  <si>
    <r>
      <t>（～に対する）障壁（</t>
    </r>
    <r>
      <rPr>
        <sz val="13"/>
        <color indexed="8"/>
        <rFont val=".AppleSystemUIFont"/>
        <charset val="136"/>
      </rPr>
      <t>against / to</t>
    </r>
    <r>
      <rPr>
        <sz val="13"/>
        <color indexed="8"/>
        <rFont val=".Hiragino Kaku Gothic Interface"/>
      </rPr>
      <t>）；防壁</t>
    </r>
  </si>
  <si>
    <t>不利（な点）；障害；（信用などの）損失</t>
  </si>
  <si>
    <t>気分；機嫌；雰囲気</t>
  </si>
  <si>
    <t>動き，動作；運動；動議</t>
  </si>
  <si>
    <t>決まり切った仕事；いつもの手順</t>
  </si>
  <si>
    <t>規律，しつけ；訓練；懲戒；学問分野</t>
  </si>
  <si>
    <t>作り話；神話</t>
  </si>
  <si>
    <t>仮説；憶測</t>
  </si>
  <si>
    <r>
      <t>【主に米】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医師（≒</t>
    </r>
    <r>
      <rPr>
        <sz val="13"/>
        <color indexed="8"/>
        <rFont val=".AppleSystemUIFont"/>
        <charset val="136"/>
      </rPr>
      <t xml:space="preserve"> doctor</t>
    </r>
    <r>
      <rPr>
        <sz val="13"/>
        <color indexed="8"/>
        <rFont val=".Hiragino Kaku Gothic Interface"/>
      </rPr>
      <t>）；内科医</t>
    </r>
  </si>
  <si>
    <r>
      <t>顧客（≒</t>
    </r>
    <r>
      <rPr>
        <sz val="13"/>
        <color indexed="8"/>
        <rFont val=".AppleSystemUIFont"/>
        <charset val="136"/>
      </rPr>
      <t xml:space="preserve"> customer</t>
    </r>
    <r>
      <rPr>
        <sz val="13"/>
        <color indexed="8"/>
        <rFont val=".Hiragino Kaku Gothic Interface"/>
      </rPr>
      <t>）；（弁護士などの）依頼人</t>
    </r>
  </si>
  <si>
    <t>植民地；集団居住地；（動植物の）コロニー</t>
  </si>
  <si>
    <t>統計；統計学</t>
  </si>
  <si>
    <t>穀物；粒；きめ</t>
  </si>
  <si>
    <t>材料，成分；（成功の）要因</t>
  </si>
  <si>
    <t>宝物，財宝；財産</t>
  </si>
  <si>
    <t>契約（書）；協定</t>
  </si>
  <si>
    <t>福祉，幸福</t>
  </si>
  <si>
    <t>主要な，最も重要な；最適な；極上の</t>
  </si>
  <si>
    <t>好奇心の強い；奇妙な</t>
  </si>
  <si>
    <t>劇的な；演劇の</t>
  </si>
  <si>
    <t>明らかに異なる；明瞭な</t>
  </si>
  <si>
    <t>心配して；切望して</t>
  </si>
  <si>
    <t>必要不可欠な；活気のある；生命にかかわる</t>
  </si>
  <si>
    <t>従来の；月並みな</t>
  </si>
  <si>
    <r>
      <t>抽象的な（⇔</t>
    </r>
    <r>
      <rPr>
        <sz val="13"/>
        <color indexed="8"/>
        <rFont val=".AppleSystemUIFont"/>
        <charset val="136"/>
      </rPr>
      <t xml:space="preserve"> concrete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783</t>
    </r>
    <r>
      <rPr>
        <sz val="13"/>
        <color indexed="8"/>
        <rFont val=".Hiragino Kaku Gothic Interface"/>
      </rPr>
      <t>）</t>
    </r>
  </si>
  <si>
    <r>
      <t>重要でない；小さい（⇔</t>
    </r>
    <r>
      <rPr>
        <sz val="13"/>
        <color indexed="8"/>
        <rFont val=".AppleSystemUIFont"/>
        <charset val="136"/>
      </rPr>
      <t xml:space="preserve"> major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88</t>
    </r>
    <r>
      <rPr>
        <sz val="13"/>
        <color indexed="8"/>
        <rFont val=".Hiragino Kaku Gothic Interface"/>
      </rPr>
      <t>）</t>
    </r>
  </si>
  <si>
    <t>並はずれた；異常な，驚くべき</t>
  </si>
  <si>
    <r>
      <t>安定した（⇔</t>
    </r>
    <r>
      <rPr>
        <sz val="13"/>
        <color indexed="8"/>
        <rFont val=".AppleSystemUIFont"/>
        <charset val="136"/>
      </rPr>
      <t xml:space="preserve"> unstable </t>
    </r>
    <r>
      <rPr>
        <sz val="13"/>
        <color indexed="8"/>
        <rFont val=".Hiragino Kaku Gothic Interface"/>
      </rPr>
      <t>不安定な）；動じない</t>
    </r>
  </si>
  <si>
    <t>融通の利く，柔軟な</t>
  </si>
  <si>
    <t>簡潔な；短い</t>
  </si>
  <si>
    <t>攻撃的な；意欲的な</t>
  </si>
  <si>
    <r>
      <t>（目に）見える（⇔</t>
    </r>
    <r>
      <rPr>
        <sz val="13"/>
        <color indexed="8"/>
        <rFont val=".AppleSystemUIFont"/>
        <charset val="136"/>
      </rPr>
      <t xml:space="preserve"> invisible </t>
    </r>
    <r>
      <rPr>
        <sz val="13"/>
        <color indexed="8"/>
        <rFont val=".Hiragino Kaku Gothic Interface"/>
      </rPr>
      <t>見えない）；明白な</t>
    </r>
  </si>
  <si>
    <t>思いがけない，不意の</t>
  </si>
  <si>
    <t>民族の，人種の；民族特有の</t>
  </si>
  <si>
    <r>
      <t>（～にとって）異質の（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）；外国の；宇宙人の</t>
    </r>
  </si>
  <si>
    <t>初めの</t>
  </si>
  <si>
    <t>正確な；まさにその</t>
  </si>
  <si>
    <r>
      <t>正確な（≒</t>
    </r>
    <r>
      <rPr>
        <sz val="13"/>
        <color indexed="8"/>
        <rFont val=".AppleSystemUIFont"/>
        <charset val="136"/>
      </rPr>
      <t xml:space="preserve"> exact</t>
    </r>
    <r>
      <rPr>
        <sz val="13"/>
        <color indexed="8"/>
        <rFont val=".Hiragino Kaku Gothic Interface"/>
      </rPr>
      <t>）；精密な；まさにその</t>
    </r>
  </si>
  <si>
    <r>
      <t>後者の（⇔</t>
    </r>
    <r>
      <rPr>
        <sz val="13"/>
        <color indexed="8"/>
        <rFont val=".AppleSystemUIFont"/>
        <charset val="136"/>
      </rPr>
      <t xml:space="preserve"> former </t>
    </r>
    <r>
      <rPr>
        <sz val="13"/>
        <color indexed="8"/>
        <rFont val=".Hiragino Kaku Gothic Interface"/>
      </rPr>
      <t>前者の），後半の</t>
    </r>
  </si>
  <si>
    <r>
      <t>〔</t>
    </r>
    <r>
      <rPr>
        <sz val="13"/>
        <color indexed="8"/>
        <rFont val=".AppleSystemUIFont"/>
        <charset val="136"/>
      </rPr>
      <t>commit oneself</t>
    </r>
    <r>
      <rPr>
        <sz val="13"/>
        <color indexed="8"/>
        <rFont val=".Hiragino Kaku Gothic Interface"/>
      </rPr>
      <t>または受身形で〕献身する；（罪など）を犯す；を投入する</t>
    </r>
  </si>
  <si>
    <t>を刺激する</t>
  </si>
  <si>
    <t>（価値など）を高める，増す</t>
  </si>
  <si>
    <t>を追求する；に従事する</t>
  </si>
  <si>
    <t>反応する；化学反応を起こす</t>
  </si>
  <si>
    <t>不賛成である；意見が食い違う</t>
  </si>
  <si>
    <t>じっと見る；を見つめる</t>
  </si>
  <si>
    <t>を捨てる；を放棄する，断念する</t>
  </si>
  <si>
    <t>をやめる；（場所）を去る</t>
  </si>
  <si>
    <t>をとらえる；をとりこにする</t>
  </si>
  <si>
    <t>を移す；を伝える；移る；乗り換える</t>
  </si>
  <si>
    <r>
      <t>を悩ます；（～を）気にかける（</t>
    </r>
    <r>
      <rPr>
        <sz val="13"/>
        <color indexed="8"/>
        <rFont val=".AppleSystemUIFont"/>
        <charset val="136"/>
      </rPr>
      <t>about / with</t>
    </r>
    <r>
      <rPr>
        <sz val="13"/>
        <color indexed="8"/>
        <rFont val=".Hiragino Kaku Gothic Interface"/>
      </rPr>
      <t>）</t>
    </r>
  </si>
  <si>
    <t>を説得する；に確信させる</t>
  </si>
  <si>
    <t>を賃借りする；を賃貸しする</t>
  </si>
  <si>
    <t>を繁殖させる，育てる；繁殖する</t>
  </si>
  <si>
    <r>
      <t>（を）投資する；に（～を）与える（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</si>
  <si>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を予約する；を取っておく；（判断など）を保留する</t>
  </si>
  <si>
    <t>（足跡・起源など）をたどる；を捜し出す</t>
  </si>
  <si>
    <t>を説明する；に挿絵を入れる</t>
  </si>
  <si>
    <t>に忠告［助言］する；（を）助言する</t>
  </si>
  <si>
    <t>を伝える；を運ぶ，運搬する</t>
  </si>
  <si>
    <t>を（取り）付ける；を付与する</t>
  </si>
  <si>
    <t>を伸ばす；を広げる；伸びる；及ぶ</t>
  </si>
  <si>
    <t>を当惑させる</t>
  </si>
  <si>
    <t>をかき乱す；を妨害する；を動揺させる</t>
  </si>
  <si>
    <t>衝突する，墜落する；をぶつけて壊す</t>
  </si>
  <si>
    <t>うまく処理する</t>
  </si>
  <si>
    <r>
      <t>を許可する（≒</t>
    </r>
    <r>
      <rPr>
        <sz val="13"/>
        <color indexed="8"/>
        <rFont val=".AppleSystemUIFont"/>
        <charset val="136"/>
      </rPr>
      <t xml:space="preserve"> allow</t>
    </r>
    <r>
      <rPr>
        <sz val="13"/>
        <color indexed="8"/>
        <rFont val=".Hiragino Kaku Gothic Interface"/>
      </rPr>
      <t>）（⇔</t>
    </r>
    <r>
      <rPr>
        <sz val="13"/>
        <color indexed="8"/>
        <rFont val=".AppleSystemUIFont"/>
        <charset val="136"/>
      </rPr>
      <t xml:space="preserve"> forbid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1013</t>
    </r>
    <r>
      <rPr>
        <sz val="13"/>
        <color indexed="8"/>
        <rFont val=".Hiragino Kaku Gothic Interface"/>
      </rPr>
      <t>）</t>
    </r>
  </si>
  <si>
    <t>を感動させる；に印象を与える</t>
  </si>
  <si>
    <t>ではないかと思う；（人）を疑う</t>
  </si>
  <si>
    <t>を動揺させる；をだめにする</t>
  </si>
  <si>
    <t>（人）を怖がらせる</t>
  </si>
  <si>
    <r>
      <t>を輸入する（⇔</t>
    </r>
    <r>
      <rPr>
        <sz val="13"/>
        <color indexed="8"/>
        <rFont val=".AppleSystemUIFont"/>
        <charset val="136"/>
      </rPr>
      <t xml:space="preserve"> export </t>
    </r>
    <r>
      <rPr>
        <sz val="13"/>
        <color indexed="8"/>
        <rFont val=".Hiragino Kaku Gothic Interface"/>
      </rPr>
      <t>（を）輸出する）；を取り込む</t>
    </r>
  </si>
  <si>
    <r>
      <t>（を）輸出する（⇔</t>
    </r>
    <r>
      <rPr>
        <sz val="13"/>
        <color indexed="8"/>
        <rFont val=".AppleSystemUIFont"/>
        <charset val="136"/>
      </rPr>
      <t xml:space="preserve"> import </t>
    </r>
    <r>
      <rPr>
        <sz val="13"/>
        <color indexed="8"/>
        <rFont val=".Hiragino Kaku Gothic Interface"/>
      </rPr>
      <t>を輸入する）</t>
    </r>
  </si>
  <si>
    <r>
      <t>を調査する；を究明する；（～を）調査する（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</t>
    </r>
  </si>
  <si>
    <t>を監視する；を傍受する</t>
  </si>
  <si>
    <t>を計算する；を予測する</t>
  </si>
  <si>
    <t>を取り除く</t>
  </si>
  <si>
    <t>を軽減する；和らぐ；緩む</t>
  </si>
  <si>
    <t>を開始する；を売り出す；を発射する</t>
  </si>
  <si>
    <t>連続；一連（のもの）</t>
  </si>
  <si>
    <t>療法；心理療法</t>
  </si>
  <si>
    <r>
      <t>症状；兆候（≒</t>
    </r>
    <r>
      <rPr>
        <sz val="13"/>
        <color indexed="8"/>
        <rFont val=".AppleSystemUIFont"/>
        <charset val="136"/>
      </rPr>
      <t xml:space="preserve"> sign</t>
    </r>
    <r>
      <rPr>
        <sz val="13"/>
        <color indexed="8"/>
        <rFont val=".Hiragino Kaku Gothic Interface"/>
      </rPr>
      <t>）</t>
    </r>
  </si>
  <si>
    <t>出来事，事件；紛争</t>
  </si>
  <si>
    <r>
      <t>目撃者（≒</t>
    </r>
    <r>
      <rPr>
        <sz val="13"/>
        <color indexed="8"/>
        <rFont val=".AppleSystemUIFont"/>
        <charset val="136"/>
      </rPr>
      <t xml:space="preserve"> eyewitness</t>
    </r>
    <r>
      <rPr>
        <sz val="13"/>
        <color indexed="8"/>
        <rFont val=".Hiragino Kaku Gothic Interface"/>
      </rPr>
      <t>）；証人；証拠，証言</t>
    </r>
  </si>
  <si>
    <t>（金）額；合計；要点</t>
  </si>
  <si>
    <t>負担；（重い）義務；積み荷</t>
  </si>
  <si>
    <t>口調；音色；雰囲気；色調</t>
  </si>
  <si>
    <r>
      <t>光栄；名誉（⇔</t>
    </r>
    <r>
      <rPr>
        <sz val="13"/>
        <color indexed="8"/>
        <rFont val=".AppleSystemUIFont"/>
        <charset val="136"/>
      </rPr>
      <t xml:space="preserve"> dishonor </t>
    </r>
    <r>
      <rPr>
        <sz val="13"/>
        <color indexed="8"/>
        <rFont val=".Hiragino Kaku Gothic Interface"/>
      </rPr>
      <t>不名誉）；敬意</t>
    </r>
  </si>
  <si>
    <r>
      <t>（～の）賞（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）；（証書などの）授与</t>
    </r>
  </si>
  <si>
    <t>優先（事項）</t>
  </si>
  <si>
    <t>論理；道理；論理学</t>
  </si>
  <si>
    <r>
      <t>最小限度（⇔</t>
    </r>
    <r>
      <rPr>
        <sz val="13"/>
        <color indexed="8"/>
        <rFont val=".AppleSystemUIFont"/>
        <charset val="136"/>
      </rPr>
      <t xml:space="preserve"> maximum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965</t>
    </r>
    <r>
      <rPr>
        <sz val="13"/>
        <color indexed="8"/>
        <rFont val=".Hiragino Kaku Gothic Interface"/>
      </rPr>
      <t>）</t>
    </r>
  </si>
  <si>
    <r>
      <t>（～の）例外（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</si>
  <si>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（～の）手がかり（</t>
    </r>
    <r>
      <rPr>
        <sz val="13"/>
        <color indexed="8"/>
        <rFont val=".AppleSystemUIFont"/>
        <charset val="136"/>
      </rPr>
      <t>to / about</t>
    </r>
    <r>
      <rPr>
        <sz val="13"/>
        <color indexed="8"/>
        <rFont val=".Hiragino Kaku Gothic Interface"/>
      </rPr>
      <t>）；（パズルの）ヒント</t>
    </r>
  </si>
  <si>
    <t>絆；債券；束縛；接着剤</t>
  </si>
  <si>
    <t>ウイルス；（感染症の）病原体</t>
  </si>
  <si>
    <t>（外科）手術；外科，外科医学</t>
  </si>
  <si>
    <t>保険；保険料；保険金</t>
  </si>
  <si>
    <t>枠，（額）縁；骨組み；体格</t>
  </si>
  <si>
    <t>避難（所），保護</t>
  </si>
  <si>
    <t>領土；（活動の）領域；（動物の）テリトリー</t>
  </si>
  <si>
    <r>
      <t>境界（線）；〔通例～</t>
    </r>
    <r>
      <rPr>
        <sz val="13"/>
        <color indexed="8"/>
        <rFont val=".AppleSystemUIFont"/>
        <charset val="136"/>
      </rPr>
      <t>ries</t>
    </r>
    <r>
      <rPr>
        <sz val="13"/>
        <color indexed="8"/>
        <rFont val=".Hiragino Kaku Gothic Interface"/>
      </rPr>
      <t>〕限界</t>
    </r>
  </si>
  <si>
    <t>生息地；（人の）居住地</t>
  </si>
  <si>
    <t>地区；行政区</t>
  </si>
  <si>
    <t>（動植物などの）保護；保存</t>
  </si>
  <si>
    <t>収穫（物）；収穫期；漁獲高</t>
  </si>
  <si>
    <t>捕食動物；略奪者</t>
  </si>
  <si>
    <t>わな；苦境</t>
  </si>
  <si>
    <t>こつ；策略；いたずら；芸当</t>
  </si>
  <si>
    <r>
      <t>〔通例</t>
    </r>
    <r>
      <rPr>
        <sz val="13"/>
        <color indexed="8"/>
        <rFont val=".AppleSystemUIFont"/>
        <charset val="136"/>
      </rPr>
      <t xml:space="preserve">one's </t>
    </r>
    <r>
      <rPr>
        <sz val="13"/>
        <color indexed="8"/>
        <rFont val=".Hiragino Kaku Gothic Interface"/>
      </rPr>
      <t>～〕責任；欠点；誤り</t>
    </r>
  </si>
  <si>
    <t>割引</t>
  </si>
  <si>
    <t>偏見；傾向</t>
  </si>
  <si>
    <t>協力，共同</t>
  </si>
  <si>
    <t>特許（権）；特許品</t>
  </si>
  <si>
    <t>対話，会話；意見の交換</t>
  </si>
  <si>
    <t>構成要素；部品</t>
  </si>
  <si>
    <t>評判；名声</t>
  </si>
  <si>
    <t>言葉の；口頭での；動詞の</t>
  </si>
  <si>
    <r>
      <t>内部の（⇔</t>
    </r>
    <r>
      <rPr>
        <sz val="13"/>
        <color indexed="8"/>
        <rFont val=".AppleSystemUIFont"/>
        <charset val="136"/>
      </rPr>
      <t xml:space="preserve"> external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989</t>
    </r>
    <r>
      <rPr>
        <sz val="13"/>
        <color indexed="8"/>
        <rFont val=".Hiragino Kaku Gothic Interface"/>
      </rPr>
      <t>）；国内の；内面的な</t>
    </r>
  </si>
  <si>
    <t>しっかりした；硬い；固体の</t>
  </si>
  <si>
    <r>
      <t>（～から）遠く離れた（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）；かけ離れた</t>
    </r>
  </si>
  <si>
    <t>主要な；資本金の</t>
  </si>
  <si>
    <t>高性能の，精巧な；洗練された</t>
  </si>
  <si>
    <t>等しい，相当する</t>
  </si>
  <si>
    <t>理性的な；合理的な</t>
  </si>
  <si>
    <t>関係がある；適切な</t>
  </si>
  <si>
    <r>
      <t>絶対的な（⇔</t>
    </r>
    <r>
      <rPr>
        <sz val="13"/>
        <color indexed="8"/>
        <rFont val=".AppleSystemUIFont"/>
        <charset val="136"/>
      </rPr>
      <t xml:space="preserve"> relative </t>
    </r>
    <r>
      <rPr>
        <sz val="13"/>
        <color indexed="8"/>
        <rFont val=".Hiragino Kaku Gothic Interface"/>
      </rPr>
      <t>相対的な）</t>
    </r>
  </si>
  <si>
    <t>頻繁な</t>
  </si>
  <si>
    <r>
      <t>永続的な（⇔</t>
    </r>
    <r>
      <rPr>
        <sz val="13"/>
        <color indexed="8"/>
        <rFont val=".AppleSystemUIFont"/>
        <charset val="136"/>
      </rPr>
      <t xml:space="preserve"> temporary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793</t>
    </r>
    <r>
      <rPr>
        <sz val="13"/>
        <color indexed="8"/>
        <rFont val=".Hiragino Kaku Gothic Interface"/>
      </rPr>
      <t>）</t>
    </r>
  </si>
  <si>
    <t>強烈な；熱烈な</t>
  </si>
  <si>
    <t>意味のある</t>
  </si>
  <si>
    <t>邪悪な；有害な</t>
  </si>
  <si>
    <t>絶滅した；廃止された</t>
  </si>
  <si>
    <t>無作為の；手当たり次第の</t>
  </si>
  <si>
    <t>生の；未加工の</t>
  </si>
  <si>
    <r>
      <t>無礼な（⇔</t>
    </r>
    <r>
      <rPr>
        <sz val="13"/>
        <color indexed="8"/>
        <rFont val=".AppleSystemUIFont"/>
        <charset val="136"/>
      </rPr>
      <t xml:space="preserve"> polite </t>
    </r>
    <r>
      <rPr>
        <sz val="13"/>
        <color indexed="8"/>
        <rFont val=".Hiragino Kaku Gothic Interface"/>
      </rPr>
      <t>礼儀正しい）；粗野な</t>
    </r>
  </si>
  <si>
    <t>単なる，ほんの</t>
  </si>
  <si>
    <t>熱帯の</t>
  </si>
  <si>
    <t>前へ，先へ；それ以降</t>
  </si>
  <si>
    <t>を所有している；の心をとらえる</t>
  </si>
  <si>
    <r>
      <t>を支配する；（～より）優勢である（</t>
    </r>
    <r>
      <rPr>
        <sz val="13"/>
        <color indexed="8"/>
        <rFont val=".AppleSystemUIFont"/>
        <charset val="136"/>
      </rPr>
      <t>over</t>
    </r>
    <r>
      <rPr>
        <sz val="13"/>
        <color indexed="8"/>
        <rFont val=".Hiragino Kaku Gothic Interface"/>
      </rPr>
      <t>）</t>
    </r>
  </si>
  <si>
    <t>を保証する</t>
  </si>
  <si>
    <t>溶ける；なごむ；を溶かす</t>
  </si>
  <si>
    <t>に恥ずかしい思いをさせる</t>
  </si>
  <si>
    <r>
      <t>（人）にやる気をなくさせる；を落胆させる（⇔</t>
    </r>
    <r>
      <rPr>
        <sz val="13"/>
        <color indexed="8"/>
        <rFont val=".AppleSystemUIFont"/>
        <charset val="136"/>
      </rPr>
      <t xml:space="preserve"> encourage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30</t>
    </r>
    <r>
      <rPr>
        <sz val="13"/>
        <color indexed="8"/>
        <rFont val=".Hiragino Kaku Gothic Interface"/>
      </rPr>
      <t>）</t>
    </r>
  </si>
  <si>
    <t>を感知する；を見つけ出す；に気づく</t>
  </si>
  <si>
    <t>をささげる</t>
  </si>
  <si>
    <t>に（強く）促す；を強く主張する；を駆り立てる</t>
  </si>
  <si>
    <r>
      <t>を貸す（⇔</t>
    </r>
    <r>
      <rPr>
        <sz val="13"/>
        <color indexed="8"/>
        <rFont val=".AppleSystemUIFont"/>
        <charset val="136"/>
      </rPr>
      <t xml:space="preserve"> borrow </t>
    </r>
    <r>
      <rPr>
        <sz val="13"/>
        <color indexed="8"/>
        <rFont val=".Hiragino Kaku Gothic Interface"/>
      </rPr>
      <t>を借りる）；（人）に（助言・援助など）を与える</t>
    </r>
  </si>
  <si>
    <t>を制限する</t>
  </si>
  <si>
    <t>を孤立させる</t>
  </si>
  <si>
    <t>に同行する；に付随する</t>
  </si>
  <si>
    <t>を疲れ果てさせる；を使い尽くす；排気する</t>
  </si>
  <si>
    <t>を悩ます；〔受身形で〕腹が立つ</t>
  </si>
  <si>
    <t>を危険にさらす</t>
  </si>
  <si>
    <r>
      <t>（事実など）を認める（≒</t>
    </r>
    <r>
      <rPr>
        <sz val="13"/>
        <color indexed="8"/>
        <rFont val=".AppleSystemUIFont"/>
        <charset val="136"/>
      </rPr>
      <t xml:space="preserve"> admit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406</t>
    </r>
    <r>
      <rPr>
        <sz val="13"/>
        <color indexed="8"/>
        <rFont val=".Hiragino Kaku Gothic Interface"/>
      </rPr>
      <t>）；に謝意を表す</t>
    </r>
  </si>
  <si>
    <r>
      <t>に（～のことで）敬服［感心］する（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</si>
  <si>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を評価する；を査定する</t>
  </si>
  <si>
    <t>を宣言する；を申告する</t>
  </si>
  <si>
    <t>を確保する；を守る</t>
  </si>
  <si>
    <r>
      <t>専門とする；【英】（～を）専攻する（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）（≒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major</t>
    </r>
    <r>
      <rPr>
        <sz val="13"/>
        <color indexed="8"/>
        <rFont val=".Hiragino Kaku Gothic Interface"/>
      </rPr>
      <t>）</t>
    </r>
  </si>
  <si>
    <r>
      <t>（結果など）を（～に）帰する（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</si>
  <si>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（の）ふりをする</t>
  </si>
  <si>
    <t>を埋める；を埋葬する；を隠す</t>
  </si>
  <si>
    <t>を逆転させる；を反対にする</t>
  </si>
  <si>
    <t>に抵抗する；〔通例否定文で〕を我慢する</t>
  </si>
  <si>
    <t>をおびえさせる；を脅す</t>
  </si>
  <si>
    <t>をまねる；を模造する</t>
  </si>
  <si>
    <t>（を）援助する；を手伝う</t>
  </si>
  <si>
    <t>に似ている</t>
  </si>
  <si>
    <r>
      <t>（～から）引退する，退職する（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）；退く</t>
    </r>
  </si>
  <si>
    <t>をおろそかにする，怠る；を無視する</t>
  </si>
  <si>
    <t>崩壊する；（人が）倒れる；を折り畳む</t>
  </si>
  <si>
    <t>を改革する；を改心させる</t>
  </si>
  <si>
    <t>（に）抗議する；を主張する</t>
  </si>
  <si>
    <t>に借りがある；のおかげである</t>
  </si>
  <si>
    <t>を持続させる；を支える</t>
  </si>
  <si>
    <r>
      <t>を割り当てる；を（～に）配属する（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</si>
  <si>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を成し遂げる</t>
  </si>
  <si>
    <t>知恵；賢明さ；学識</t>
  </si>
  <si>
    <t>読み書きの能力；（特定分野の）知識</t>
  </si>
  <si>
    <t>遺産</t>
  </si>
  <si>
    <t>使命；（外交）使節団；布教</t>
  </si>
  <si>
    <t>免許（証）；許可</t>
  </si>
  <si>
    <r>
      <t>〔通例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～〕〔集合的に〕エリート</t>
    </r>
  </si>
  <si>
    <t>層</t>
  </si>
  <si>
    <t>モーター；原動力</t>
  </si>
  <si>
    <t>たんぱく質</t>
  </si>
  <si>
    <t>職業；専門職；同業者仲間</t>
  </si>
  <si>
    <t>編集者；編集長</t>
  </si>
  <si>
    <t>仲介者，代理人；薬剤</t>
  </si>
  <si>
    <r>
      <t>地球（≒</t>
    </r>
    <r>
      <rPr>
        <sz val="13"/>
        <color indexed="8"/>
        <rFont val=".AppleSystemUIFont"/>
        <charset val="136"/>
      </rPr>
      <t xml:space="preserve"> earth</t>
    </r>
    <r>
      <rPr>
        <sz val="13"/>
        <color indexed="8"/>
        <rFont val=".Hiragino Kaku Gothic Interface"/>
      </rPr>
      <t>）；世界；球</t>
    </r>
  </si>
  <si>
    <t>避難所，保護区；港</t>
  </si>
  <si>
    <t>列；（建物が並ぶ）通り</t>
  </si>
  <si>
    <t>犠牲；いけにえ</t>
  </si>
  <si>
    <t>〔単数・複数扱い〕手段；〔複数扱い〕資力，収入</t>
  </si>
  <si>
    <t>集まり；（議会の）会期；（開会中の）議会</t>
  </si>
  <si>
    <t>（競技）連盟；同盟</t>
  </si>
  <si>
    <t>コンテスト，競技（会）；争い</t>
  </si>
  <si>
    <t>警備員；警備隊；監視，警戒</t>
  </si>
  <si>
    <t>（試合・論争などの）相手；反対者</t>
  </si>
  <si>
    <r>
      <t>（～を）ちらっと見ること（</t>
    </r>
    <r>
      <rPr>
        <sz val="13"/>
        <color indexed="8"/>
        <rFont val=".AppleSystemUIFont"/>
        <charset val="136"/>
      </rPr>
      <t>at</t>
    </r>
    <r>
      <rPr>
        <sz val="13"/>
        <color indexed="8"/>
        <rFont val=".Hiragino Kaku Gothic Interface"/>
      </rPr>
      <t>）</t>
    </r>
  </si>
  <si>
    <t>離婚；分離</t>
  </si>
  <si>
    <t>（生物の）組織；ティッシュペーパー</t>
  </si>
  <si>
    <t>液体</t>
  </si>
  <si>
    <t>不平等；不公平な事柄</t>
  </si>
  <si>
    <r>
      <t>（～に対する）偏見（</t>
    </r>
    <r>
      <rPr>
        <sz val="13"/>
        <color indexed="8"/>
        <rFont val=".AppleSystemUIFont"/>
        <charset val="136"/>
      </rPr>
      <t>against</t>
    </r>
    <r>
      <rPr>
        <sz val="13"/>
        <color indexed="8"/>
        <rFont val=".Hiragino Kaku Gothic Interface"/>
      </rPr>
      <t>）（≒</t>
    </r>
    <r>
      <rPr>
        <sz val="13"/>
        <color indexed="8"/>
        <rFont val=".AppleSystemUIFont"/>
        <charset val="136"/>
      </rPr>
      <t xml:space="preserve"> bias</t>
    </r>
    <r>
      <rPr>
        <sz val="13"/>
        <color indexed="8"/>
        <rFont val=".Hiragino Kaku Gothic Interface"/>
      </rPr>
      <t>）</t>
    </r>
  </si>
  <si>
    <t>公正，正義；司法</t>
  </si>
  <si>
    <t>指針，ガイドライン；指導基準</t>
  </si>
  <si>
    <t>プラットフォーム；演壇；舞台</t>
  </si>
  <si>
    <t>（社会・経済などの）部門，セクター；（都市内の）地域</t>
  </si>
  <si>
    <t>チャンネル；伝達経路；海峡</t>
  </si>
  <si>
    <t>氷河</t>
  </si>
  <si>
    <t>霊長目の動物</t>
  </si>
  <si>
    <t>（使）用法；語法；習慣</t>
  </si>
  <si>
    <r>
      <t>財産；幸運（≒</t>
    </r>
    <r>
      <rPr>
        <sz val="13"/>
        <color indexed="8"/>
        <rFont val=".AppleSystemUIFont"/>
        <charset val="136"/>
      </rPr>
      <t xml:space="preserve"> luck</t>
    </r>
    <r>
      <rPr>
        <sz val="13"/>
        <color indexed="8"/>
        <rFont val=".Hiragino Kaku Gothic Interface"/>
      </rPr>
      <t>）；運命</t>
    </r>
  </si>
  <si>
    <t>相互関係，相関（関係）</t>
  </si>
  <si>
    <t>芸術的な</t>
  </si>
  <si>
    <r>
      <t>文学の；文語の（⇔</t>
    </r>
    <r>
      <rPr>
        <sz val="13"/>
        <color indexed="8"/>
        <rFont val=".AppleSystemUIFont"/>
        <charset val="136"/>
      </rPr>
      <t xml:space="preserve"> colloquial </t>
    </r>
    <r>
      <rPr>
        <sz val="13"/>
        <color indexed="8"/>
        <rFont val=".Hiragino Kaku Gothic Interface"/>
      </rPr>
      <t>口語体の）</t>
    </r>
  </si>
  <si>
    <t>第一級の；典型的な；定番の</t>
  </si>
  <si>
    <t>自由主義の；寛大な；一般教養の</t>
  </si>
  <si>
    <r>
      <t>具体的な（⇔</t>
    </r>
    <r>
      <rPr>
        <sz val="13"/>
        <color indexed="8"/>
        <rFont val=".AppleSystemUIFont"/>
        <charset val="136"/>
      </rPr>
      <t xml:space="preserve"> abstract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586</t>
    </r>
    <r>
      <rPr>
        <sz val="13"/>
        <color indexed="8"/>
        <rFont val=".Hiragino Kaku Gothic Interface"/>
      </rPr>
      <t>）；有形の</t>
    </r>
  </si>
  <si>
    <t>わずかな；取るに足らない</t>
  </si>
  <si>
    <t>連邦（政府）の</t>
  </si>
  <si>
    <t>原始的な；未開の</t>
  </si>
  <si>
    <r>
      <t>（～に）不慣れな（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）；（～に）（よく）知られていない（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</si>
  <si>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微妙な；（気体などが）希薄な</t>
  </si>
  <si>
    <t>明らかな；平易な；飾りのない；率直な</t>
  </si>
  <si>
    <t>海の；船舶の</t>
  </si>
  <si>
    <t>明白な；一見～らしい</t>
  </si>
  <si>
    <r>
      <t>気が進まない，嫌がる（⇔</t>
    </r>
    <r>
      <rPr>
        <sz val="13"/>
        <color indexed="8"/>
        <rFont val=".AppleSystemUIFont"/>
        <charset val="136"/>
      </rPr>
      <t xml:space="preserve"> willing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298</t>
    </r>
    <r>
      <rPr>
        <sz val="13"/>
        <color indexed="8"/>
        <rFont val=".Hiragino Kaku Gothic Interface"/>
      </rPr>
      <t>）</t>
    </r>
  </si>
  <si>
    <r>
      <t>一時的な（⇔</t>
    </r>
    <r>
      <rPr>
        <sz val="13"/>
        <color indexed="8"/>
        <rFont val=".AppleSystemUIFont"/>
        <charset val="136"/>
      </rPr>
      <t xml:space="preserve"> permanent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690</t>
    </r>
    <r>
      <rPr>
        <sz val="13"/>
        <color indexed="8"/>
        <rFont val=".Hiragino Kaku Gothic Interface"/>
      </rPr>
      <t>）</t>
    </r>
  </si>
  <si>
    <r>
      <t>罪悪感のある；（～について）有罪の（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</si>
  <si>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t>王の</t>
  </si>
  <si>
    <t>純粋な；潔白な；まったくの</t>
  </si>
  <si>
    <t>信じられない；すばらしい</t>
  </si>
  <si>
    <r>
      <t>（～を）熱望して（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）；熱心な</t>
    </r>
  </si>
  <si>
    <r>
      <t>十分な；適切な（⇔</t>
    </r>
    <r>
      <rPr>
        <sz val="13"/>
        <color indexed="8"/>
        <rFont val=".AppleSystemUIFont"/>
        <charset val="136"/>
      </rPr>
      <t xml:space="preserve"> inadequate </t>
    </r>
    <r>
      <rPr>
        <sz val="13"/>
        <color indexed="8"/>
        <rFont val=".Hiragino Kaku Gothic Interface"/>
      </rPr>
      <t>不適切な）</t>
    </r>
  </si>
  <si>
    <t>～経由で；～の媒介で</t>
  </si>
  <si>
    <t>賛成する；を承認する</t>
  </si>
  <si>
    <r>
      <t>と述べる；（～について）意見を述べる（</t>
    </r>
    <r>
      <rPr>
        <sz val="13"/>
        <color indexed="8"/>
        <rFont val=".AppleSystemUIFont"/>
        <charset val="136"/>
      </rPr>
      <t>on / upon</t>
    </r>
    <r>
      <rPr>
        <sz val="13"/>
        <color indexed="8"/>
        <rFont val=".Hiragino Kaku Gothic Interface"/>
      </rPr>
      <t>）</t>
    </r>
  </si>
  <si>
    <r>
      <t>（危険）を引き起こす；（問題など）を提起する；ポーズをとる；（～を）装う（</t>
    </r>
    <r>
      <rPr>
        <sz val="13"/>
        <color indexed="8"/>
        <rFont val=".AppleSystemUIFont"/>
        <charset val="136"/>
      </rPr>
      <t>as</t>
    </r>
    <r>
      <rPr>
        <sz val="13"/>
        <color indexed="8"/>
        <rFont val=".Hiragino Kaku Gothic Interface"/>
      </rPr>
      <t>）</t>
    </r>
  </si>
  <si>
    <r>
      <t>をもたらす；を（～に）譲る（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）；（～に）屈する（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</si>
  <si>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を示す，見せる；を展示する</t>
  </si>
  <si>
    <r>
      <t>を（～に）分配する（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）；〔受身形で〕分布する</t>
    </r>
  </si>
  <si>
    <t>を命じる；を指揮する；（景色）を見渡せる</t>
  </si>
  <si>
    <t>（空間・時間）を占める；を占領する</t>
  </si>
  <si>
    <t>ひょいと動く；不意に現れる；ポンとはじける</t>
  </si>
  <si>
    <t>を積み重ねる；積み重なる</t>
  </si>
  <si>
    <t>に挨拶する；を迎える</t>
  </si>
  <si>
    <r>
      <t>（～に；～のことで）謝る（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；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）；弁明する</t>
    </r>
  </si>
  <si>
    <t>をいら立たせる；（計画・希望など）を挫折させる</t>
  </si>
  <si>
    <r>
      <t>を和らげる；〔受身形で〕（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して）安心する（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）；を解放する</t>
    </r>
  </si>
  <si>
    <t>由来する；を引き出す；を推論する</t>
  </si>
  <si>
    <t>に値する</t>
  </si>
  <si>
    <r>
      <t>（～を）じっと見る（</t>
    </r>
    <r>
      <rPr>
        <sz val="13"/>
        <color indexed="8"/>
        <rFont val=".AppleSystemUIFont"/>
        <charset val="136"/>
      </rPr>
      <t>at / into</t>
    </r>
    <r>
      <rPr>
        <sz val="13"/>
        <color indexed="8"/>
        <rFont val=".Hiragino Kaku Gothic Interface"/>
      </rPr>
      <t>）</t>
    </r>
  </si>
  <si>
    <r>
      <t>を負かす（≒</t>
    </r>
    <r>
      <rPr>
        <sz val="13"/>
        <color indexed="8"/>
        <rFont val=".AppleSystemUIFont"/>
        <charset val="136"/>
      </rPr>
      <t xml:space="preserve"> beat</t>
    </r>
    <r>
      <rPr>
        <sz val="13"/>
        <color indexed="8"/>
        <rFont val=".Hiragino Kaku Gothic Interface"/>
      </rPr>
      <t>）；を失敗させる</t>
    </r>
  </si>
  <si>
    <t>を変える；を改宗［転向］させる；を交換する</t>
  </si>
  <si>
    <r>
      <t>と結婚する；を（～と）結婚させる（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</si>
  <si>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を喜ばせる；（～を）大いに喜ぶ（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</t>
    </r>
  </si>
  <si>
    <t>を押し上げる；を増加させる</t>
  </si>
  <si>
    <r>
      <t>に耐える（≒</t>
    </r>
    <r>
      <rPr>
        <sz val="13"/>
        <color indexed="8"/>
        <rFont val=".AppleSystemUIFont"/>
        <charset val="136"/>
      </rPr>
      <t xml:space="preserve"> put up with</t>
    </r>
    <r>
      <rPr>
        <sz val="13"/>
        <color indexed="8"/>
        <rFont val=".Hiragino Kaku Gothic Interface"/>
      </rPr>
      <t>）；（に）持ちこたえる</t>
    </r>
  </si>
  <si>
    <r>
      <t>一致する；（～に）相当する（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）；文通する</t>
    </r>
  </si>
  <si>
    <t>を課す；を押しつける</t>
  </si>
  <si>
    <t>を救う</t>
  </si>
  <si>
    <t>を解決する；を決意する；を議決する</t>
  </si>
  <si>
    <r>
      <t>を記録する，登録する；（～に）登録する（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</si>
  <si>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を中断させる；（の）邪魔をする</t>
  </si>
  <si>
    <r>
      <t>から（～を）取り除く，除去する（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</si>
  <si>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t>を禁止する</t>
  </si>
  <si>
    <t>を構成する；を創作する；を鎮静する</t>
  </si>
  <si>
    <t>（を）誤解する</t>
  </si>
  <si>
    <t>を罰する；に損傷を与える</t>
  </si>
  <si>
    <t>をだめにする；を破滅させる；破滅する</t>
  </si>
  <si>
    <t>を防御する；を弁護する</t>
  </si>
  <si>
    <t>を受け入れる；（を）抱擁する；を包含する</t>
  </si>
  <si>
    <t>を修正する；を緩和する</t>
  </si>
  <si>
    <t>（人）に資格を与える；資格がある</t>
  </si>
  <si>
    <t>情熱；熱中；激怒</t>
  </si>
  <si>
    <r>
      <t>（～への）熱情，熱意（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</si>
  <si>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段階，局面；側面</t>
  </si>
  <si>
    <t>方式；気分；形態；流行</t>
  </si>
  <si>
    <t>期間；範囲</t>
  </si>
  <si>
    <t>重力，引力；重量；重大さ</t>
  </si>
  <si>
    <t>軌道；（活動・勢力などの）範囲</t>
  </si>
  <si>
    <r>
      <t>小惑星（≒</t>
    </r>
    <r>
      <rPr>
        <sz val="13"/>
        <color indexed="8"/>
        <rFont val=".AppleSystemUIFont"/>
        <charset val="136"/>
      </rPr>
      <t xml:space="preserve"> minor planet</t>
    </r>
    <r>
      <rPr>
        <sz val="13"/>
        <color indexed="8"/>
        <rFont val=".Hiragino Kaku Gothic Interface"/>
      </rPr>
      <t>）；ヒトデ（＝</t>
    </r>
    <r>
      <rPr>
        <sz val="13"/>
        <color indexed="8"/>
        <rFont val=".AppleSystemUIFont"/>
        <charset val="136"/>
      </rPr>
      <t xml:space="preserve"> starfish</t>
    </r>
    <r>
      <rPr>
        <sz val="13"/>
        <color indexed="8"/>
        <rFont val=".Hiragino Kaku Gothic Interface"/>
      </rPr>
      <t>）</t>
    </r>
  </si>
  <si>
    <t>核心；芯</t>
  </si>
  <si>
    <t>精神；魂，霊魂；生気</t>
  </si>
  <si>
    <r>
      <t>神経；〔～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〕神経過敏；（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する）度胸（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</t>
    </r>
  </si>
  <si>
    <t>感染（症）</t>
  </si>
  <si>
    <r>
      <t>【主に米】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モール，ショッピングセンター</t>
    </r>
  </si>
  <si>
    <r>
      <t>〔～</t>
    </r>
    <r>
      <rPr>
        <sz val="13"/>
        <color indexed="8"/>
        <rFont val=".AppleSystemUIFont"/>
        <charset val="136"/>
      </rPr>
      <t>ies</t>
    </r>
    <r>
      <rPr>
        <sz val="13"/>
        <color indexed="8"/>
        <rFont val=".Hiragino Kaku Gothic Interface"/>
      </rPr>
      <t>〕食料雑貨；食料雑貨店</t>
    </r>
  </si>
  <si>
    <t>ユーモア；気分，機嫌；気質</t>
  </si>
  <si>
    <t>本能；勘，直感；（自然に起こる）衝動</t>
  </si>
  <si>
    <r>
      <t>（～への）信頼（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）；信仰（心）</t>
    </r>
  </si>
  <si>
    <t>勇気</t>
  </si>
  <si>
    <t>動機（づけ）；報奨金</t>
  </si>
  <si>
    <r>
      <t>見込み；〔～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〕（未来への）展望；有望な人</t>
    </r>
  </si>
  <si>
    <r>
      <t>（～に対する）障害（物）（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</si>
  <si>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建築；建築様式；構造</t>
  </si>
  <si>
    <t>（草木の）茎，幹</t>
  </si>
  <si>
    <t>錯覚，思い違い；幻想</t>
  </si>
  <si>
    <r>
      <t>（～に対する）差別（</t>
    </r>
    <r>
      <rPr>
        <sz val="13"/>
        <color indexed="8"/>
        <rFont val=".AppleSystemUIFont"/>
        <charset val="136"/>
      </rPr>
      <t>against</t>
    </r>
    <r>
      <rPr>
        <sz val="13"/>
        <color indexed="8"/>
        <rFont val=".Hiragino Kaku Gothic Interface"/>
      </rPr>
      <t>）；区別</t>
    </r>
  </si>
  <si>
    <t>恥；残念なこと</t>
  </si>
  <si>
    <t>干ばつ；（慢性的な）不足</t>
  </si>
  <si>
    <t>風味；特色</t>
  </si>
  <si>
    <r>
      <t>部分；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人前；割り当て</t>
    </r>
  </si>
  <si>
    <t>調理法，レシピ；手順；秘訣</t>
  </si>
  <si>
    <t>ぜいたく（品）；〔形容詞的に〕豪華な</t>
  </si>
  <si>
    <t>小片，破片；欠けた箇所；集積回路</t>
  </si>
  <si>
    <t>儀式；（日常の）習慣的行為</t>
  </si>
  <si>
    <r>
      <t>〔</t>
    </r>
    <r>
      <rPr>
        <sz val="13"/>
        <color indexed="8"/>
        <rFont val=".AppleSystemUIFont"/>
        <charset val="136"/>
      </rPr>
      <t xml:space="preserve">for the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 xml:space="preserve"> of</t>
    </r>
    <r>
      <rPr>
        <sz val="13"/>
        <color indexed="8"/>
        <rFont val=".Hiragino Kaku Gothic Interface"/>
      </rPr>
      <t>で〕のために，の目的で；に免じて</t>
    </r>
  </si>
  <si>
    <t>（日本の）県，府；（フランスなどの）県</t>
  </si>
  <si>
    <t>（地方）議会；評議会；（公の）会議</t>
  </si>
  <si>
    <t>管理（部）；行政；政府（機関）</t>
  </si>
  <si>
    <t>教育課程，カリキュラム</t>
  </si>
  <si>
    <r>
      <t>貴重な；高価な（≒</t>
    </r>
    <r>
      <rPr>
        <sz val="13"/>
        <color indexed="8"/>
        <rFont val=".AppleSystemUIFont"/>
        <charset val="136"/>
      </rPr>
      <t xml:space="preserve"> valuable</t>
    </r>
    <r>
      <rPr>
        <sz val="13"/>
        <color indexed="8"/>
        <rFont val=".Hiragino Kaku Gothic Interface"/>
      </rPr>
      <t>）</t>
    </r>
  </si>
  <si>
    <r>
      <t>寛大な；気前のよい（⇔</t>
    </r>
    <r>
      <rPr>
        <sz val="13"/>
        <color indexed="8"/>
        <rFont val=".AppleSystemUIFont"/>
        <charset val="136"/>
      </rPr>
      <t xml:space="preserve"> stingy </t>
    </r>
    <r>
      <rPr>
        <sz val="13"/>
        <color indexed="8"/>
        <rFont val=".Hiragino Kaku Gothic Interface"/>
      </rPr>
      <t>けちな）；豊富な</t>
    </r>
  </si>
  <si>
    <t>何気ない；形式ばらない</t>
  </si>
  <si>
    <r>
      <t>楽観的な（⇔</t>
    </r>
    <r>
      <rPr>
        <sz val="13"/>
        <color indexed="8"/>
        <rFont val=".AppleSystemUIFont"/>
        <charset val="136"/>
      </rPr>
      <t xml:space="preserve"> pessimistic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1593</t>
    </r>
    <r>
      <rPr>
        <sz val="13"/>
        <color indexed="8"/>
        <rFont val=".Hiragino Kaku Gothic Interface"/>
      </rPr>
      <t>）</t>
    </r>
  </si>
  <si>
    <t>粗い；大まかな；乱暴な</t>
  </si>
  <si>
    <t>不愉快な；不親切な，無礼な</t>
  </si>
  <si>
    <r>
      <t>北極の（⇔</t>
    </r>
    <r>
      <rPr>
        <sz val="13"/>
        <color indexed="8"/>
        <rFont val=".AppleSystemUIFont"/>
        <charset val="136"/>
      </rPr>
      <t xml:space="preserve"> Antarctic </t>
    </r>
    <r>
      <rPr>
        <sz val="13"/>
        <color indexed="8"/>
        <rFont val=".Hiragino Kaku Gothic Interface"/>
      </rPr>
      <t>南極の）</t>
    </r>
  </si>
  <si>
    <t>究極の</t>
  </si>
  <si>
    <r>
      <t>耳が聞こえない（≒</t>
    </r>
    <r>
      <rPr>
        <sz val="13"/>
        <color indexed="8"/>
        <rFont val=".AppleSystemUIFont"/>
        <charset val="136"/>
      </rPr>
      <t xml:space="preserve"> hard of hearing</t>
    </r>
    <r>
      <rPr>
        <sz val="13"/>
        <color indexed="8"/>
        <rFont val=".Hiragino Kaku Gothic Interface"/>
      </rPr>
      <t>）</t>
    </r>
  </si>
  <si>
    <r>
      <t>本物の（≒</t>
    </r>
    <r>
      <rPr>
        <sz val="13"/>
        <color indexed="8"/>
        <rFont val=".AppleSystemUIFont"/>
        <charset val="136"/>
      </rPr>
      <t xml:space="preserve"> authentic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1580, real</t>
    </r>
    <r>
      <rPr>
        <sz val="13"/>
        <color indexed="8"/>
        <rFont val=".Hiragino Kaku Gothic Interface"/>
      </rPr>
      <t>）；偽りのない</t>
    </r>
  </si>
  <si>
    <t>体［手］を使う；手の；手動式の</t>
  </si>
  <si>
    <t>機械の；機械的な</t>
  </si>
  <si>
    <t>即時の，すぐの；即席の</t>
  </si>
  <si>
    <t>余分の，予備の</t>
  </si>
  <si>
    <r>
      <t>（～に対して）免疫を持つ（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）；（～を）免れた（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</t>
    </r>
  </si>
  <si>
    <t>厳しい；（光・色・味などが）不快な</t>
  </si>
  <si>
    <t>集団の，共同の</t>
  </si>
  <si>
    <t>避けられない</t>
  </si>
  <si>
    <t>重大な；深い；難解な</t>
  </si>
  <si>
    <t>着実な，一定の；安定した</t>
  </si>
  <si>
    <r>
      <t>成熟した（⇔</t>
    </r>
    <r>
      <rPr>
        <sz val="13"/>
        <color indexed="8"/>
        <rFont val=".AppleSystemUIFont"/>
        <charset val="136"/>
      </rPr>
      <t xml:space="preserve"> immature </t>
    </r>
    <r>
      <rPr>
        <sz val="13"/>
        <color indexed="8"/>
        <rFont val=".Hiragino Kaku Gothic Interface"/>
      </rPr>
      <t>未熟な）；熟した</t>
    </r>
  </si>
  <si>
    <r>
      <t>同様に（≒</t>
    </r>
    <r>
      <rPr>
        <sz val="13"/>
        <color indexed="8"/>
        <rFont val=".AppleSystemUIFont"/>
        <charset val="136"/>
      </rPr>
      <t xml:space="preserve"> in the same way</t>
    </r>
    <r>
      <rPr>
        <sz val="13"/>
        <color indexed="8"/>
        <rFont val=".Hiragino Kaku Gothic Interface"/>
      </rPr>
      <t>）</t>
    </r>
  </si>
  <si>
    <t>（を）追跡する；（を）追求する</t>
  </si>
  <si>
    <r>
      <t>を告訴する；（～を求めて）訴訟を起こす（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</si>
  <si>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じっと見る</t>
  </si>
  <si>
    <t>滑る；滑り落ちる；そっと動く</t>
  </si>
  <si>
    <t>に積む；に負わせる</t>
  </si>
  <si>
    <t>を圧倒する；を（精神的に）打ちのめす</t>
  </si>
  <si>
    <t>歩き回る；それる；はぐれる</t>
  </si>
  <si>
    <t>漂う，浮かぶ；を浮かべる</t>
  </si>
  <si>
    <t>を注ぐ；激しく降る；押し寄せる</t>
  </si>
  <si>
    <r>
      <t>を代わりに使う；（～の）代理をする（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</si>
  <si>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を発音する；を宣言する</t>
  </si>
  <si>
    <t>縮む，縮小する；減少する；ひるむ</t>
  </si>
  <si>
    <t>を回復させる；を修復する</t>
  </si>
  <si>
    <t>を引き起こす；のきっかけとなる</t>
  </si>
  <si>
    <t>をつかむ；を横取りする；を急いで食べる</t>
  </si>
  <si>
    <t>を保持する；を覚えている</t>
  </si>
  <si>
    <t>を複製する；を繁殖させる；繁殖する</t>
  </si>
  <si>
    <t>上下に動く；急に動く；を上下に動かす</t>
  </si>
  <si>
    <t>を楽しませる；をもてなす</t>
  </si>
  <si>
    <t>干渉する，介入する；邪魔する</t>
  </si>
  <si>
    <t>を養う；を耕す；を栽培する</t>
  </si>
  <si>
    <t>の根底にある</t>
  </si>
  <si>
    <t>を予期する；楽しみに待つ</t>
  </si>
  <si>
    <t>を正当化する</t>
  </si>
  <si>
    <t>を規制する；を調整する</t>
  </si>
  <si>
    <t>を走査［スキャン］する；をざっと見る；を注意深く調べる</t>
  </si>
  <si>
    <t>を分類する；を機密扱いにする</t>
  </si>
  <si>
    <r>
      <t>を提出する；〔</t>
    </r>
    <r>
      <rPr>
        <sz val="13"/>
        <color indexed="8"/>
        <rFont val=".AppleSystemUIFont"/>
        <charset val="136"/>
      </rPr>
      <t>submit oneself</t>
    </r>
    <r>
      <rPr>
        <sz val="13"/>
        <color indexed="8"/>
        <rFont val=".Hiragino Kaku Gothic Interface"/>
      </rPr>
      <t>で〕（～に）従う（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</si>
  <si>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（一時的に）中止する；（一瞬）立ち止まる</t>
  </si>
  <si>
    <t>傾く；寄りかかる；をもたせかける</t>
  </si>
  <si>
    <t>ぶつかる；をぶつける</t>
  </si>
  <si>
    <t>を折り畳む；（両腕）を組む；（折り）畳める</t>
  </si>
  <si>
    <t>躊躇する，ためらう</t>
  </si>
  <si>
    <t>（液体・気体）をポンプで送り込む；をくみ出す；を注ぎ込む</t>
  </si>
  <si>
    <t>を据えつける；に着手する；（自転車など）に乗る；増える</t>
  </si>
  <si>
    <t>を超える；に勝る</t>
  </si>
  <si>
    <t>を経験する；（手術など）を受ける；に耐える</t>
  </si>
  <si>
    <t>に立ち向かう；（困難などが）に立ちはだかる</t>
  </si>
  <si>
    <t>（に）相談する；を参照する</t>
  </si>
  <si>
    <t>を実現させる；を果たす；を満たす</t>
  </si>
  <si>
    <t>特権，特典</t>
  </si>
  <si>
    <t>形成；構成（物）；隊列</t>
  </si>
  <si>
    <t>側面，局面；次元；寸法</t>
  </si>
  <si>
    <t>ニューロン，神経単位</t>
  </si>
  <si>
    <t>感覚；大評判</t>
  </si>
  <si>
    <t>図，グラフ；海図；ヒットチャート</t>
  </si>
  <si>
    <r>
      <t>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～〕地理；地理学</t>
    </r>
  </si>
  <si>
    <t>（専門家の）一団；討論者一同；羽目板</t>
  </si>
  <si>
    <r>
      <t>【主に米】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（</t>
    </r>
    <r>
      <rPr>
        <sz val="13"/>
        <color indexed="8"/>
        <rFont val=".AppleSystemUIFont"/>
        <charset val="136"/>
      </rPr>
      <t>2</t>
    </r>
    <r>
      <rPr>
        <sz val="13"/>
        <color indexed="8"/>
        <rFont val=".Hiragino Kaku Gothic Interface"/>
      </rPr>
      <t>学期制の）学期</t>
    </r>
  </si>
  <si>
    <t>労働人口，総労働力；全従業員（数）</t>
  </si>
  <si>
    <t>製造工場；製粉所；粉ひき機</t>
  </si>
  <si>
    <t>乱用；虐待</t>
  </si>
  <si>
    <r>
      <t>（道徳上の）悪（⇔</t>
    </r>
    <r>
      <rPr>
        <sz val="13"/>
        <color indexed="8"/>
        <rFont val=".AppleSystemUIFont"/>
        <charset val="136"/>
      </rPr>
      <t xml:space="preserve"> virtue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1078</t>
    </r>
    <r>
      <rPr>
        <sz val="13"/>
        <color indexed="8"/>
        <rFont val=".Hiragino Kaku Gothic Interface"/>
      </rPr>
      <t>）；欠点</t>
    </r>
  </si>
  <si>
    <t>運命；結末；最期</t>
  </si>
  <si>
    <r>
      <t>悲劇（的な事態）（⇔</t>
    </r>
    <r>
      <rPr>
        <sz val="13"/>
        <color indexed="8"/>
        <rFont val=".AppleSystemUIFont"/>
        <charset val="136"/>
      </rPr>
      <t xml:space="preserve"> comedy </t>
    </r>
    <r>
      <rPr>
        <sz val="13"/>
        <color indexed="8"/>
        <rFont val=".Hiragino Kaku Gothic Interface"/>
      </rPr>
      <t>喜劇）</t>
    </r>
  </si>
  <si>
    <t>（予想される）筋書き，事態；脚本</t>
  </si>
  <si>
    <t>アレルギー</t>
  </si>
  <si>
    <t>（銃弾・刃物などによる）傷；痛手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</si>
  <si>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〕抗生物質</t>
    </r>
  </si>
  <si>
    <t>ワクチン</t>
  </si>
  <si>
    <t>隠喩；比喩</t>
  </si>
  <si>
    <r>
      <t>人々；〔～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〕皆さん；〔</t>
    </r>
    <r>
      <rPr>
        <sz val="13"/>
        <color indexed="8"/>
        <rFont val=".AppleSystemUIFont"/>
        <charset val="136"/>
      </rPr>
      <t xml:space="preserve">one's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〕家族</t>
    </r>
  </si>
  <si>
    <t>（乗り物の）料金</t>
  </si>
  <si>
    <t>移り変わり；過渡期</t>
  </si>
  <si>
    <r>
      <t>最大限（⇔</t>
    </r>
    <r>
      <rPr>
        <sz val="13"/>
        <color indexed="8"/>
        <rFont val=".AppleSystemUIFont"/>
        <charset val="136"/>
      </rPr>
      <t xml:space="preserve"> minimum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653</t>
    </r>
    <r>
      <rPr>
        <sz val="13"/>
        <color indexed="8"/>
        <rFont val=".Hiragino Kaku Gothic Interface"/>
      </rPr>
      <t>）</t>
    </r>
  </si>
  <si>
    <r>
      <t>星雲，銀河；〔</t>
    </r>
    <r>
      <rPr>
        <sz val="13"/>
        <color indexed="8"/>
        <rFont val=".AppleSystemUIFont"/>
        <charset val="136"/>
      </rPr>
      <t>the G</t>
    </r>
    <r>
      <rPr>
        <sz val="13"/>
        <color indexed="8"/>
        <rFont val=".Hiragino Kaku Gothic Interface"/>
      </rPr>
      <t>～〕銀河系</t>
    </r>
  </si>
  <si>
    <t>鉱物；ミネラル</t>
  </si>
  <si>
    <t>骨格；骨組み；概略</t>
  </si>
  <si>
    <t>相当する物［人］</t>
  </si>
  <si>
    <t>脳卒中；（ボールを）打つこと；（雷などの）一撃</t>
  </si>
  <si>
    <t>歩行者</t>
  </si>
  <si>
    <t>（野山などの）小道；跡；手がかり</t>
  </si>
  <si>
    <t>生態学；生態系；環境保護</t>
  </si>
  <si>
    <r>
      <t>きょうだい（の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人）</t>
    </r>
  </si>
  <si>
    <t>比率</t>
  </si>
  <si>
    <t>混合（物）</t>
  </si>
  <si>
    <t>魅力；お守り</t>
  </si>
  <si>
    <r>
      <t>（～に対する）願望，野望（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）；野心</t>
    </r>
  </si>
  <si>
    <t>卓越した；目立つ</t>
  </si>
  <si>
    <t>急進的な；根本的な</t>
  </si>
  <si>
    <t>即座の，迅速な</t>
  </si>
  <si>
    <r>
      <t>形式ばらない，略式の（⇔</t>
    </r>
    <r>
      <rPr>
        <sz val="13"/>
        <color indexed="8"/>
        <rFont val=".AppleSystemUIFont"/>
        <charset val="136"/>
      </rPr>
      <t xml:space="preserve"> formal </t>
    </r>
    <r>
      <rPr>
        <sz val="13"/>
        <color indexed="8"/>
        <rFont val=".Hiragino Kaku Gothic Interface"/>
      </rPr>
      <t>正式の）；（言葉が）くだけた</t>
    </r>
  </si>
  <si>
    <t>相互の；共通の</t>
  </si>
  <si>
    <t>中立の；（特徴・表情などが）はっきりしない</t>
  </si>
  <si>
    <t>警戒して；敏速な</t>
  </si>
  <si>
    <t>磁気の；磁石の；人を引きつける</t>
  </si>
  <si>
    <t>極地の；電極の</t>
  </si>
  <si>
    <t>流ちょうな</t>
  </si>
  <si>
    <r>
      <t>外部の（⇔</t>
    </r>
    <r>
      <rPr>
        <sz val="13"/>
        <color indexed="8"/>
        <rFont val=".AppleSystemUIFont"/>
        <charset val="136"/>
      </rPr>
      <t xml:space="preserve"> internal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680</t>
    </r>
    <r>
      <rPr>
        <sz val="13"/>
        <color indexed="8"/>
        <rFont val=".Hiragino Kaku Gothic Interface"/>
      </rPr>
      <t>）；対外的な</t>
    </r>
  </si>
  <si>
    <t>受動的な；消極的な</t>
  </si>
  <si>
    <t>ひどい；嫌な；ものすごい</t>
  </si>
  <si>
    <t>無関係の；血縁関係がない</t>
  </si>
  <si>
    <t>残酷な；むごい</t>
  </si>
  <si>
    <t>偽の；見せかけだけの</t>
  </si>
  <si>
    <t>（攻撃などに）弱い，もろい；傷つきやすい</t>
  </si>
  <si>
    <t>緊急の</t>
  </si>
  <si>
    <r>
      <t>精神の（⇔</t>
    </r>
    <r>
      <rPr>
        <sz val="13"/>
        <color indexed="8"/>
        <rFont val=".AppleSystemUIFont"/>
        <charset val="136"/>
      </rPr>
      <t xml:space="preserve"> material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73</t>
    </r>
    <r>
      <rPr>
        <sz val="13"/>
        <color indexed="8"/>
        <rFont val=".Hiragino Kaku Gothic Interface"/>
      </rPr>
      <t>）；霊的な</t>
    </r>
  </si>
  <si>
    <r>
      <t>謙虚な（≒</t>
    </r>
    <r>
      <rPr>
        <sz val="13"/>
        <color indexed="8"/>
        <rFont val=".AppleSystemUIFont"/>
        <charset val="136"/>
      </rPr>
      <t xml:space="preserve"> humble</t>
    </r>
    <r>
      <rPr>
        <sz val="13"/>
        <color indexed="8"/>
        <rFont val=".Hiragino Kaku Gothic Interface"/>
      </rPr>
      <t>）；適度な；質素な</t>
    </r>
  </si>
  <si>
    <t>熱心な；鋭敏な；（感情・関心などが）強い</t>
  </si>
  <si>
    <r>
      <t>それにもかかわらず，それでもなお（≒</t>
    </r>
    <r>
      <rPr>
        <sz val="13"/>
        <color indexed="8"/>
        <rFont val=".AppleSystemUIFont"/>
        <charset val="136"/>
      </rPr>
      <t xml:space="preserve"> nevertheless</t>
    </r>
    <r>
      <rPr>
        <sz val="13"/>
        <color indexed="8"/>
        <rFont val=".Hiragino Kaku Gothic Interface"/>
      </rPr>
      <t>）</t>
    </r>
  </si>
  <si>
    <t>交渉する；を（交渉して）取り決める</t>
  </si>
  <si>
    <t>を把握［理解］する；をしっかり握る</t>
  </si>
  <si>
    <t>を寄付する；（臓器・血液）を提供する</t>
  </si>
  <si>
    <t>を逮捕する；を止める；（注意）を引く</t>
  </si>
  <si>
    <t>ひびが入る；にひびを入れる</t>
  </si>
  <si>
    <t>を軽くたたく；（液体）を出す；を盗聴する</t>
  </si>
  <si>
    <t>を分割する；を分担する；分裂する</t>
  </si>
  <si>
    <t>を予想［予測］する</t>
  </si>
  <si>
    <r>
      <t>を除外する（⇔</t>
    </r>
    <r>
      <rPr>
        <sz val="13"/>
        <color indexed="8"/>
        <rFont val=".AppleSystemUIFont"/>
        <charset val="136"/>
      </rPr>
      <t xml:space="preserve">include </t>
    </r>
    <r>
      <rPr>
        <sz val="13"/>
        <color indexed="8"/>
        <rFont val=".Hiragino Kaku Gothic Interface"/>
      </rPr>
      <t>を含む）</t>
    </r>
  </si>
  <si>
    <t>を見落とす；を大目に見る；を見渡す</t>
  </si>
  <si>
    <r>
      <t>破裂する；（～を）突然始める（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</t>
    </r>
  </si>
  <si>
    <t>（人・傷など）を治す；治る</t>
  </si>
  <si>
    <r>
      <t>を禁じる（⇔</t>
    </r>
    <r>
      <rPr>
        <sz val="13"/>
        <color indexed="8"/>
        <rFont val=".AppleSystemUIFont"/>
        <charset val="136"/>
      </rPr>
      <t xml:space="preserve">permit </t>
    </r>
    <r>
      <rPr>
        <sz val="13"/>
        <color indexed="8"/>
        <rFont val=".Hiragino Kaku Gothic Interface"/>
      </rPr>
      <t>許可する）</t>
    </r>
  </si>
  <si>
    <t>をインストールする；を設置する；を就任させる</t>
  </si>
  <si>
    <r>
      <t>を減らす；減少する（≒</t>
    </r>
    <r>
      <rPr>
        <sz val="13"/>
        <color indexed="8"/>
        <rFont val=".AppleSystemUIFont"/>
        <charset val="136"/>
      </rPr>
      <t>decrease</t>
    </r>
    <r>
      <rPr>
        <sz val="13"/>
        <color indexed="8"/>
        <rFont val=".Hiragino Kaku Gothic Interface"/>
      </rPr>
      <t>）</t>
    </r>
  </si>
  <si>
    <t>を引き合いに出す；を引用する</t>
  </si>
  <si>
    <t>を引用する；を引き合いに出す</t>
  </si>
  <si>
    <t>に異議を唱える；（を）議論する</t>
  </si>
  <si>
    <t>を目立たせる、強調する</t>
  </si>
  <si>
    <t>（注意など）をそらす</t>
  </si>
  <si>
    <t>をだます；不正をする</t>
  </si>
  <si>
    <t>をはぐくむ；を養育する；を心に抱く</t>
  </si>
  <si>
    <t>に従う；に服従する</t>
  </si>
  <si>
    <t>を曲げる；を屈服させる；曲がる</t>
  </si>
  <si>
    <t>から（権利などを）奪う</t>
  </si>
  <si>
    <t>（を）統治する、支配する</t>
  </si>
  <si>
    <r>
      <t>〔</t>
    </r>
    <r>
      <rPr>
        <sz val="13"/>
        <color indexed="8"/>
        <rFont val=".AppleSystemUIFont"/>
        <charset val="136"/>
      </rPr>
      <t>log on</t>
    </r>
    <r>
      <rPr>
        <sz val="13"/>
        <color indexed="8"/>
        <rFont val=".Hiragino Kaku Gothic Interface"/>
      </rPr>
      <t>で〕ログオンする；を記録する</t>
    </r>
  </si>
  <si>
    <t>を伝える；（電波・信号など）を送る</t>
  </si>
  <si>
    <t>をいじめる；を脅す</t>
  </si>
  <si>
    <t>跳ぶ；さっと動く；急上昇する</t>
  </si>
  <si>
    <t>を驚かす</t>
  </si>
  <si>
    <t>をぞくぞくさせる；わくわくする</t>
  </si>
  <si>
    <t>うなずく；会釈する；うとうとする</t>
  </si>
  <si>
    <t>おじぎする；屈服する</t>
  </si>
  <si>
    <r>
      <t>を混ぜる；を調和させる；（～に）溶け込む（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</t>
    </r>
  </si>
  <si>
    <t>を複雑にする</t>
  </si>
  <si>
    <t>を投げる；倒れる；縦揺れする</t>
  </si>
  <si>
    <t>続く；固執する</t>
  </si>
  <si>
    <t>をささげる；を献呈する</t>
  </si>
  <si>
    <t>に備えつける</t>
  </si>
  <si>
    <r>
      <t>前提；〔～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〕（建物を含めた）構内、敷地</t>
    </r>
  </si>
  <si>
    <t>入力（情報）、投入；（情報・時間などの）提供</t>
  </si>
  <si>
    <r>
      <t>利点（⇔</t>
    </r>
    <r>
      <rPr>
        <sz val="13"/>
        <color indexed="8"/>
        <rFont val=".AppleSystemUIFont"/>
        <charset val="136"/>
      </rPr>
      <t xml:space="preserve">demerit </t>
    </r>
    <r>
      <rPr>
        <sz val="13"/>
        <color indexed="8"/>
        <rFont val=".Hiragino Kaku Gothic Interface"/>
      </rPr>
      <t>欠点）；功績；真価</t>
    </r>
  </si>
  <si>
    <r>
      <t>同情；（～に対する）共感（</t>
    </r>
    <r>
      <rPr>
        <sz val="13"/>
        <color indexed="8"/>
        <rFont val=".AppleSystemUIFont"/>
        <charset val="136"/>
      </rPr>
      <t>with/for</t>
    </r>
    <r>
      <rPr>
        <sz val="13"/>
        <color indexed="8"/>
        <rFont val=".Hiragino Kaku Gothic Interface"/>
      </rPr>
      <t>）</t>
    </r>
  </si>
  <si>
    <t>賛辞；表敬</t>
  </si>
  <si>
    <t>インフラ、基本的施設；（経済）基盤</t>
  </si>
  <si>
    <t>光線；ひらめき、一筋の光明</t>
  </si>
  <si>
    <t>苦悩；苦痛；困窮</t>
  </si>
  <si>
    <t>関節；接合（部）</t>
  </si>
  <si>
    <t>遠征（隊）、探検（隊）</t>
  </si>
  <si>
    <t>青年；青年期の</t>
  </si>
  <si>
    <t>（日）陰；色合い；日よけ；微妙な相違</t>
  </si>
  <si>
    <t>陪審（員団）；審査員団</t>
  </si>
  <si>
    <r>
      <t>倫理、道徳；〔～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〕倫理［道徳］規範</t>
    </r>
  </si>
  <si>
    <t>（刑）罰；罰金；ペナルティー</t>
  </si>
  <si>
    <t>能力、機能；学部；教授陣</t>
  </si>
  <si>
    <r>
      <t>計画（≒</t>
    </r>
    <r>
      <rPr>
        <sz val="13"/>
        <color indexed="8"/>
        <rFont val=".AppleSystemUIFont"/>
        <charset val="136"/>
      </rPr>
      <t>plan</t>
    </r>
    <r>
      <rPr>
        <sz val="13"/>
        <color indexed="8"/>
        <rFont val=".Hiragino Kaku Gothic Interface"/>
      </rPr>
      <t>）；体系；陰謀</t>
    </r>
  </si>
  <si>
    <t>栄養（の摂取）</t>
  </si>
  <si>
    <t>（微）粒子；ほんのわずか</t>
  </si>
  <si>
    <t>分子；微粒子</t>
  </si>
  <si>
    <t>国籍；国民；国民性</t>
  </si>
  <si>
    <t>世論調査；投票（数）</t>
  </si>
  <si>
    <t>診療所、クリニック；（病院内の）～科</t>
  </si>
  <si>
    <t>認知症</t>
  </si>
  <si>
    <r>
      <t>疲労（≒</t>
    </r>
    <r>
      <rPr>
        <sz val="13"/>
        <color indexed="8"/>
        <rFont val=".AppleSystemUIFont"/>
        <charset val="136"/>
      </rPr>
      <t>exhaustion</t>
    </r>
    <r>
      <rPr>
        <sz val="13"/>
        <color indexed="8"/>
        <rFont val=".Hiragino Kaku Gothic Interface"/>
      </rPr>
      <t>）</t>
    </r>
  </si>
  <si>
    <t>ジレンマ、板ばさみ</t>
  </si>
  <si>
    <t>【英】（順番を待つ）列</t>
  </si>
  <si>
    <t>（道路などの）カーブ；曲線</t>
  </si>
  <si>
    <t>物語、話；（小説の）叙述部分、地の文</t>
  </si>
  <si>
    <t>指紋</t>
  </si>
  <si>
    <t>ファイル；（書類の）とじ込み</t>
  </si>
  <si>
    <t>荒野；（庭・町などの）放置された部分</t>
  </si>
  <si>
    <r>
      <t>殺虫剤；除草剤（≒</t>
    </r>
    <r>
      <rPr>
        <sz val="13"/>
        <color indexed="8"/>
        <rFont val=".AppleSystemUIFont"/>
        <charset val="136"/>
      </rPr>
      <t>herbicide</t>
    </r>
    <r>
      <rPr>
        <sz val="13"/>
        <color indexed="8"/>
        <rFont val=".Hiragino Kaku Gothic Interface"/>
      </rPr>
      <t>）</t>
    </r>
  </si>
  <si>
    <t>パニック（状態）；狼狽</t>
  </si>
  <si>
    <t>織物、布（地）；構造</t>
  </si>
  <si>
    <t>空想；幻想；幻想的作品</t>
  </si>
  <si>
    <t>（気まぐれな）好み；空想；思いつき</t>
  </si>
  <si>
    <r>
      <t>美徳（⇔</t>
    </r>
    <r>
      <rPr>
        <sz val="13"/>
        <color indexed="8"/>
        <rFont val=".AppleSystemUIFont"/>
        <charset val="136"/>
      </rPr>
      <t xml:space="preserve">vice </t>
    </r>
    <r>
      <rPr>
        <sz val="13"/>
        <color indexed="8"/>
        <rFont val=".Hiragino Kaku Gothic Interface"/>
      </rPr>
      <t>悪）；長所；効能</t>
    </r>
  </si>
  <si>
    <t>感謝している</t>
  </si>
  <si>
    <t>妥当な；有効な</t>
  </si>
  <si>
    <t>入念な；凝った</t>
  </si>
  <si>
    <t>適度な；穏健な</t>
  </si>
  <si>
    <r>
      <t>活動的な、精力的な；動的な（⇔</t>
    </r>
    <r>
      <rPr>
        <sz val="13"/>
        <color indexed="8"/>
        <rFont val=".AppleSystemUIFont"/>
        <charset val="136"/>
      </rPr>
      <t xml:space="preserve">static </t>
    </r>
    <r>
      <rPr>
        <sz val="13"/>
        <color indexed="8"/>
        <rFont val=".Hiragino Kaku Gothic Interface"/>
      </rPr>
      <t>静的な）</t>
    </r>
  </si>
  <si>
    <r>
      <t>勇敢な（⇔</t>
    </r>
    <r>
      <rPr>
        <sz val="13"/>
        <color indexed="8"/>
        <rFont val=".AppleSystemUIFont"/>
        <charset val="136"/>
      </rPr>
      <t xml:space="preserve">cowardly </t>
    </r>
    <r>
      <rPr>
        <sz val="13"/>
        <color indexed="8"/>
        <rFont val=".Hiragino Kaku Gothic Interface"/>
      </rPr>
      <t>臆病な）；見事な</t>
    </r>
  </si>
  <si>
    <t>すばらしい；才能にあふれた；きらめく</t>
  </si>
  <si>
    <t>途方もない、莫大な；すばらしい</t>
  </si>
  <si>
    <t>口頭の</t>
  </si>
  <si>
    <r>
      <t>無罪の（⇔</t>
    </r>
    <r>
      <rPr>
        <sz val="13"/>
        <color indexed="8"/>
        <rFont val=".AppleSystemUIFont"/>
        <charset val="136"/>
      </rPr>
      <t xml:space="preserve">guilty </t>
    </r>
    <r>
      <rPr>
        <sz val="13"/>
        <color indexed="8"/>
        <rFont val=".Hiragino Kaku Gothic Interface"/>
      </rPr>
      <t>有罪の）；無邪気な；無知の</t>
    </r>
  </si>
  <si>
    <t>その後の</t>
  </si>
  <si>
    <r>
      <t>浅い（⇔</t>
    </r>
    <r>
      <rPr>
        <sz val="13"/>
        <color indexed="8"/>
        <rFont val=".AppleSystemUIFont"/>
        <charset val="136"/>
      </rPr>
      <t xml:space="preserve">deep </t>
    </r>
    <r>
      <rPr>
        <sz val="13"/>
        <color indexed="8"/>
        <rFont val=".Hiragino Kaku Gothic Interface"/>
      </rPr>
      <t>深い）；浅薄な</t>
    </r>
  </si>
  <si>
    <r>
      <t>無関心な（≒</t>
    </r>
    <r>
      <rPr>
        <sz val="13"/>
        <color indexed="8"/>
        <rFont val=".AppleSystemUIFont"/>
        <charset val="136"/>
      </rPr>
      <t>uninterested</t>
    </r>
    <r>
      <rPr>
        <sz val="13"/>
        <color indexed="8"/>
        <rFont val=".Hiragino Kaku Gothic Interface"/>
      </rPr>
      <t>）</t>
    </r>
  </si>
  <si>
    <r>
      <t>より劣った（⇔</t>
    </r>
    <r>
      <rPr>
        <sz val="13"/>
        <color indexed="8"/>
        <rFont val=".AppleSystemUIFont"/>
        <charset val="136"/>
      </rPr>
      <t xml:space="preserve">superior </t>
    </r>
    <r>
      <rPr>
        <sz val="13"/>
        <color indexed="8"/>
        <rFont val=".Hiragino Kaku Gothic Interface"/>
      </rPr>
      <t>よりすぐれた）</t>
    </r>
  </si>
  <si>
    <t>気まずい；ぎこちない；厄介な</t>
  </si>
  <si>
    <t>肥満した</t>
  </si>
  <si>
    <r>
      <t>妊娠した；（～で）満ちている（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</si>
  <si>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親密な；密接な</t>
  </si>
  <si>
    <t>中世の；時代遅れの</t>
  </si>
  <si>
    <r>
      <t>神聖な（≒</t>
    </r>
    <r>
      <rPr>
        <sz val="13"/>
        <color indexed="8"/>
        <rFont val=".AppleSystemUIFont"/>
        <charset val="136"/>
      </rPr>
      <t>holy</t>
    </r>
    <r>
      <rPr>
        <sz val="13"/>
        <color indexed="8"/>
        <rFont val=".Hiragino Kaku Gothic Interface"/>
      </rPr>
      <t>）；宗教的な；厳粛な</t>
    </r>
  </si>
  <si>
    <r>
      <t>（～と）同時に（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）；一斉に</t>
    </r>
  </si>
  <si>
    <r>
      <t>〔</t>
    </r>
    <r>
      <rPr>
        <sz val="13"/>
        <color indexed="8"/>
        <rFont val=".AppleSystemUIFont"/>
        <charset val="136"/>
      </rPr>
      <t xml:space="preserve">A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 xml:space="preserve"> B</t>
    </r>
    <r>
      <rPr>
        <sz val="13"/>
        <color indexed="8"/>
        <rFont val=".Hiragino Kaku Gothic Interface"/>
      </rPr>
      <t>で〕</t>
    </r>
    <r>
      <rPr>
        <sz val="13"/>
        <color indexed="8"/>
        <rFont val=".AppleSystemUIFont"/>
        <charset val="136"/>
      </rPr>
      <t>A</t>
    </r>
    <r>
      <rPr>
        <sz val="13"/>
        <color indexed="8"/>
        <rFont val=".Hiragino Kaku Gothic Interface"/>
      </rPr>
      <t>対</t>
    </r>
    <r>
      <rPr>
        <sz val="13"/>
        <color indexed="8"/>
        <rFont val=".AppleSystemUIFont"/>
        <charset val="136"/>
      </rPr>
      <t>B</t>
    </r>
    <r>
      <rPr>
        <sz val="13"/>
        <color indexed="8"/>
        <rFont val=".Hiragino Kaku Gothic Interface"/>
      </rPr>
      <t>；</t>
    </r>
    <r>
      <rPr>
        <sz val="13"/>
        <color indexed="8"/>
        <rFont val=".AppleSystemUIFont"/>
        <charset val="136"/>
      </rPr>
      <t>A</t>
    </r>
    <r>
      <rPr>
        <sz val="13"/>
        <color indexed="8"/>
        <rFont val=".Hiragino Kaku Gothic Interface"/>
      </rPr>
      <t>か</t>
    </r>
    <r>
      <rPr>
        <sz val="13"/>
        <color indexed="8"/>
        <rFont val=".AppleSystemUIFont"/>
        <charset val="136"/>
      </rPr>
      <t>B</t>
    </r>
    <r>
      <rPr>
        <sz val="13"/>
        <color indexed="8"/>
        <rFont val=".Hiragino Kaku Gothic Interface"/>
      </rPr>
      <t>か</t>
    </r>
  </si>
  <si>
    <r>
      <t>進む，進行する；（～を）続行する（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</si>
  <si>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r>
      <t>（人）を（環境などに）慣らす（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）；〔受身形で〕（関心などが）（～に）向いている（</t>
    </r>
    <r>
      <rPr>
        <sz val="13"/>
        <color indexed="8"/>
        <rFont val=".AppleSystemUIFont"/>
        <charset val="136"/>
      </rPr>
      <t>to / toward</t>
    </r>
    <r>
      <rPr>
        <sz val="13"/>
        <color indexed="8"/>
        <rFont val=".Hiragino Kaku Gothic Interface"/>
      </rPr>
      <t>）</t>
    </r>
  </si>
  <si>
    <t>（インターネット上の情報など）を見て回る；サーフィンをする</t>
  </si>
  <si>
    <t>をろ過する；を取り除く</t>
  </si>
  <si>
    <t>を縛る；を束縛する；を結び付ける</t>
  </si>
  <si>
    <r>
      <t>（好ましくない手段に）訴える，頼る（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</si>
  <si>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を強化する；を補強する</t>
  </si>
  <si>
    <t>を蓄積する，集める；積もる</t>
  </si>
  <si>
    <t>と確信する，断言する；（金などを）かける</t>
  </si>
  <si>
    <t>を主張する；を擁護する</t>
  </si>
  <si>
    <t>を構成する；になる，に等しい</t>
  </si>
  <si>
    <t>を引き受ける；を保証する；に着手する</t>
  </si>
  <si>
    <t>を握る；をとらえる</t>
  </si>
  <si>
    <t>（意見など）を退ける；を解雇する</t>
  </si>
  <si>
    <t>薄れる；衰える</t>
  </si>
  <si>
    <r>
      <t>を隠す（≒</t>
    </r>
    <r>
      <rPr>
        <sz val="13"/>
        <color indexed="8"/>
        <rFont val=".AppleSystemUIFont"/>
        <charset val="136"/>
      </rPr>
      <t xml:space="preserve"> hide</t>
    </r>
    <r>
      <rPr>
        <sz val="13"/>
        <color indexed="8"/>
        <rFont val=".Hiragino Kaku Gothic Interface"/>
      </rPr>
      <t>）；を秘密にする（⇔</t>
    </r>
    <r>
      <rPr>
        <sz val="13"/>
        <color indexed="8"/>
        <rFont val=".AppleSystemUIFont"/>
        <charset val="136"/>
      </rPr>
      <t xml:space="preserve">uncover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1236</t>
    </r>
    <r>
      <rPr>
        <sz val="13"/>
        <color indexed="8"/>
        <rFont val=".Hiragino Kaku Gothic Interface"/>
      </rPr>
      <t>）</t>
    </r>
  </si>
  <si>
    <t>（を）かむ；をかみ砕く</t>
  </si>
  <si>
    <t>（を）飲み込む；をうのみにする；に耐える</t>
  </si>
  <si>
    <t>を密閉する；に封をする</t>
  </si>
  <si>
    <t>移住する；（鳥などが）渡る</t>
  </si>
  <si>
    <t>（を）誇張する；を強調する</t>
  </si>
  <si>
    <t>を非難する；を告訴する</t>
  </si>
  <si>
    <r>
      <t>消える（≒</t>
    </r>
    <r>
      <rPr>
        <sz val="13"/>
        <color indexed="8"/>
        <rFont val=".AppleSystemUIFont"/>
        <charset val="136"/>
      </rPr>
      <t xml:space="preserve"> disappear</t>
    </r>
    <r>
      <rPr>
        <sz val="13"/>
        <color indexed="8"/>
        <rFont val=".Hiragino Kaku Gothic Interface"/>
      </rPr>
      <t>）</t>
    </r>
  </si>
  <si>
    <t>を磨く；を洗練させる</t>
  </si>
  <si>
    <t>を拭く；を拭き取る；を消し去る</t>
  </si>
  <si>
    <t>（を）掃く；を一掃する；さっと通過する</t>
  </si>
  <si>
    <t>を誤解させる，欺く；（人）を間違った方向に導く</t>
  </si>
  <si>
    <t>を台無しにする；を甘やかす；だめになる</t>
  </si>
  <si>
    <t>を悪化させる；を合成する；を混合する</t>
  </si>
  <si>
    <t>爆発する；急増する；を論破する</t>
  </si>
  <si>
    <t>をむかつかせる；に愛想を尽かせる</t>
  </si>
  <si>
    <t>通勤［通学］する</t>
  </si>
  <si>
    <t>を装飾する</t>
  </si>
  <si>
    <r>
      <t>を延期する（≒</t>
    </r>
    <r>
      <rPr>
        <sz val="13"/>
        <color indexed="8"/>
        <rFont val=".AppleSystemUIFont"/>
        <charset val="136"/>
      </rPr>
      <t xml:space="preserve"> put off</t>
    </r>
    <r>
      <rPr>
        <sz val="13"/>
        <color indexed="8"/>
        <rFont val=".Hiragino Kaku Gothic Interface"/>
      </rPr>
      <t>）</t>
    </r>
  </si>
  <si>
    <t>をやめる；終わる</t>
  </si>
  <si>
    <t>妥協する；を危うくする</t>
  </si>
  <si>
    <t>を選出する</t>
  </si>
  <si>
    <t>を取り［搾り］出す；を抜粋する</t>
  </si>
  <si>
    <t>を受け継ぐ；を相続する</t>
  </si>
  <si>
    <r>
      <t>（人・動物・植物）を育てる（≒</t>
    </r>
    <r>
      <rPr>
        <sz val="13"/>
        <color indexed="8"/>
        <rFont val=".AppleSystemUIFont"/>
        <charset val="136"/>
      </rPr>
      <t xml:space="preserve"> raise</t>
    </r>
    <r>
      <rPr>
        <sz val="13"/>
        <color indexed="8"/>
        <rFont val=".Hiragino Kaku Gothic Interface"/>
      </rPr>
      <t>）</t>
    </r>
  </si>
  <si>
    <t>感情移入，共感</t>
  </si>
  <si>
    <t>合図；手がかり；（次の演技の）キュー</t>
  </si>
  <si>
    <t>企業，事業；企画；進取の気性</t>
  </si>
  <si>
    <t>生産（高）；出力；排出（量）</t>
  </si>
  <si>
    <t>（米国などの）議会；会議</t>
  </si>
  <si>
    <t>千年間，千年紀</t>
  </si>
  <si>
    <t>人類</t>
  </si>
  <si>
    <t>イスラム教徒</t>
  </si>
  <si>
    <t>（動産・不動産などの）財産；私有地</t>
  </si>
  <si>
    <t>地雷</t>
  </si>
  <si>
    <t>用心；警告</t>
  </si>
  <si>
    <t>論争</t>
  </si>
  <si>
    <t>総意；（意見の）一致</t>
  </si>
  <si>
    <r>
      <t>小売り（⇔</t>
    </r>
    <r>
      <rPr>
        <sz val="13"/>
        <color indexed="8"/>
        <rFont val=".AppleSystemUIFont"/>
        <charset val="136"/>
      </rPr>
      <t xml:space="preserve"> wholesale </t>
    </r>
    <r>
      <rPr>
        <sz val="13"/>
        <color indexed="8"/>
        <rFont val=".Hiragino Kaku Gothic Interface"/>
      </rPr>
      <t>卸売り）</t>
    </r>
  </si>
  <si>
    <t>繊維（質）；本質；精神力</t>
  </si>
  <si>
    <t>（よい）香り；香水</t>
  </si>
  <si>
    <t>（水以外の）飲み物，飲料</t>
  </si>
  <si>
    <t>栄養補助剤，サプリメント；補足</t>
  </si>
  <si>
    <t>糖尿病</t>
  </si>
  <si>
    <r>
      <t>州，省；〔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〕地方；分野</t>
    </r>
  </si>
  <si>
    <t>（岩や砂の）礁；暗礁</t>
  </si>
  <si>
    <t>微生物；細菌</t>
  </si>
  <si>
    <t>過剰，超過</t>
  </si>
  <si>
    <t>美術館，画廊；観客，ギャラリー；回廊</t>
  </si>
  <si>
    <t>名声</t>
  </si>
  <si>
    <t>締め切り</t>
  </si>
  <si>
    <t>学部学生</t>
  </si>
  <si>
    <t>奴隷制度；苦役</t>
  </si>
  <si>
    <t>獲物；犠牲者</t>
  </si>
  <si>
    <t>散らかった状態［物］；混乱状態</t>
  </si>
  <si>
    <t>不況；後退</t>
  </si>
  <si>
    <t>後退，退却；（計画・決定などの）撤回</t>
  </si>
  <si>
    <r>
      <t>墓；〔通例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～〕死</t>
    </r>
  </si>
  <si>
    <t>コラム；（新聞などの）欄；円柱；（縦）列</t>
  </si>
  <si>
    <t>〔集合的に〕景色；背景</t>
  </si>
  <si>
    <t>（小説などの）筋；陰謀</t>
  </si>
  <si>
    <t>彫刻（作品）</t>
  </si>
  <si>
    <t>タブレット（型情報端末）；錠剤；平板</t>
  </si>
  <si>
    <t>密集した，密度の高い；（霧などが）濃い</t>
  </si>
  <si>
    <t>外来の；異国風の</t>
  </si>
  <si>
    <t>酸性の；酸っぱい；辛辣な</t>
  </si>
  <si>
    <t>苦い，つらい；辛辣な；怒りっぽい</t>
  </si>
  <si>
    <t>賢明な；実用的な；顕著な</t>
  </si>
  <si>
    <t>高貴な；堂々とした；高潔な</t>
  </si>
  <si>
    <t>漠然とした，あいまいな；おぼろげな</t>
  </si>
  <si>
    <r>
      <t>（～と）平行［並行］の（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）；類似した</t>
    </r>
  </si>
  <si>
    <t>張り詰めた，緊張した</t>
  </si>
  <si>
    <r>
      <t>垂直の（⇔</t>
    </r>
    <r>
      <rPr>
        <sz val="13"/>
        <color indexed="8"/>
        <rFont val=".AppleSystemUIFont"/>
        <charset val="136"/>
      </rPr>
      <t xml:space="preserve"> horizontal </t>
    </r>
    <r>
      <rPr>
        <sz val="13"/>
        <color indexed="8"/>
        <rFont val=".Hiragino Kaku Gothic Interface"/>
      </rPr>
      <t>水平な）；縦方向の</t>
    </r>
  </si>
  <si>
    <t>原産の，先住の；（その土地に）固有の</t>
  </si>
  <si>
    <r>
      <t>〔通例</t>
    </r>
    <r>
      <rPr>
        <sz val="13"/>
        <color indexed="8"/>
        <rFont val=".AppleSystemUIFont"/>
        <charset val="136"/>
      </rPr>
      <t>A</t>
    </r>
    <r>
      <rPr>
        <sz val="13"/>
        <color indexed="8"/>
        <rFont val=".Hiragino Kaku Gothic Interface"/>
      </rPr>
      <t>～〕アボリジニの；原生の，先住の</t>
    </r>
  </si>
  <si>
    <t>季節の，季節的な</t>
  </si>
  <si>
    <r>
      <t>豊富な；（～に）富む（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</t>
    </r>
  </si>
  <si>
    <t>ハイブリッドの；雑種の；混成の</t>
  </si>
  <si>
    <r>
      <t>（～にとって）無関係の（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）；見当違いの</t>
    </r>
  </si>
  <si>
    <t>ばかげた；法外な</t>
  </si>
  <si>
    <t>妖精の（ような）</t>
  </si>
  <si>
    <t>感覚の</t>
  </si>
  <si>
    <r>
      <t>慢性の（⇔</t>
    </r>
    <r>
      <rPr>
        <sz val="13"/>
        <color indexed="8"/>
        <rFont val=".AppleSystemUIFont"/>
        <charset val="136"/>
      </rPr>
      <t xml:space="preserve"> acute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1486</t>
    </r>
    <r>
      <rPr>
        <sz val="13"/>
        <color indexed="8"/>
        <rFont val=".Hiragino Kaku Gothic Interface"/>
      </rPr>
      <t>）；長引く；常習の</t>
    </r>
  </si>
  <si>
    <r>
      <t>自発的な（⇔</t>
    </r>
    <r>
      <rPr>
        <sz val="13"/>
        <color indexed="8"/>
        <rFont val=".AppleSystemUIFont"/>
        <charset val="136"/>
      </rPr>
      <t xml:space="preserve"> compulsory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1384</t>
    </r>
    <r>
      <rPr>
        <sz val="13"/>
        <color indexed="8"/>
        <rFont val=".Hiragino Kaku Gothic Interface"/>
      </rPr>
      <t>）；無償の</t>
    </r>
  </si>
  <si>
    <t>傾向がある；傾いた</t>
  </si>
  <si>
    <t>を推論する，推測する</t>
  </si>
  <si>
    <t>を尊敬する；を見なす</t>
  </si>
  <si>
    <r>
      <t>に取り組む；と（～のことで）話をつける（</t>
    </r>
    <r>
      <rPr>
        <sz val="13"/>
        <color indexed="8"/>
        <rFont val=".AppleSystemUIFont"/>
        <charset val="136"/>
      </rPr>
      <t>about / on</t>
    </r>
    <r>
      <rPr>
        <sz val="13"/>
        <color indexed="8"/>
        <rFont val=".Hiragino Kaku Gothic Interface"/>
      </rPr>
      <t>）</t>
    </r>
  </si>
  <si>
    <t>危険を冒して進む；を思い切ってする</t>
  </si>
  <si>
    <t>を加速させる，促進する；加速する</t>
  </si>
  <si>
    <t>（人）を慣れさせる</t>
  </si>
  <si>
    <t>をおもしろがらせる，楽しませる</t>
  </si>
  <si>
    <t>繁栄する；繁茂する；を振りかざす</t>
  </si>
  <si>
    <t>繁栄する，うまくいく；繁茂する</t>
  </si>
  <si>
    <t>をはぐくむ；を養成する</t>
  </si>
  <si>
    <t>（を）クリックする；をカチッと鳴らす；カチッと音がする</t>
  </si>
  <si>
    <t>回転する；を回転させる；（糸）を紡ぐ</t>
  </si>
  <si>
    <t>を切り抜く；を（はさみで）切り取る；をクリップで留める</t>
  </si>
  <si>
    <t>を引きずる；ぐずぐずする</t>
  </si>
  <si>
    <t>を投じる；に役を当てる</t>
  </si>
  <si>
    <t>をまき散らす；分散する</t>
  </si>
  <si>
    <r>
      <t>を（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する）気にさせる（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）；を引きつける</t>
    </r>
  </si>
  <si>
    <t>を引き出す；を撤回する；撤退する</t>
  </si>
  <si>
    <t>あくびをする</t>
  </si>
  <si>
    <t>まばたきする；点滅する；（目）をまたたく</t>
  </si>
  <si>
    <t>を染める；染まる</t>
  </si>
  <si>
    <t>をこぼす；こぼれる</t>
  </si>
  <si>
    <t>をいらいらさせる；をひりひりさせる</t>
  </si>
  <si>
    <r>
      <t>を侮辱する（≒</t>
    </r>
    <r>
      <rPr>
        <sz val="13"/>
        <color indexed="8"/>
        <rFont val=".AppleSystemUIFont"/>
        <charset val="136"/>
      </rPr>
      <t xml:space="preserve"> affront</t>
    </r>
    <r>
      <rPr>
        <sz val="13"/>
        <color indexed="8"/>
        <rFont val=".Hiragino Kaku Gothic Interface"/>
      </rPr>
      <t>）</t>
    </r>
  </si>
  <si>
    <r>
      <t>を施行［実施］する；を（～に）強制する（</t>
    </r>
    <r>
      <rPr>
        <sz val="13"/>
        <color indexed="8"/>
        <rFont val=".AppleSystemUIFont"/>
        <charset val="136"/>
      </rPr>
      <t>on / upon</t>
    </r>
    <r>
      <rPr>
        <sz val="13"/>
        <color indexed="8"/>
        <rFont val=".Hiragino Kaku Gothic Interface"/>
      </rPr>
      <t>）</t>
    </r>
  </si>
  <si>
    <t>から（金品を）奪う</t>
  </si>
  <si>
    <t>（液体）を流出させる；（液体が）流れ出る</t>
  </si>
  <si>
    <t>を停職［停学，出場停止］にする；を一時的に中断する</t>
  </si>
  <si>
    <t>漂う；さまよう；を押し流す</t>
  </si>
  <si>
    <t>を許す；を免除する</t>
  </si>
  <si>
    <t>を修正する；を改訂する</t>
  </si>
  <si>
    <t>を募る；に新人を補充する</t>
  </si>
  <si>
    <t>をねじる，ひねる；を歪曲する</t>
  </si>
  <si>
    <t>を押しつぶす；を弾圧する；を絞り出す</t>
  </si>
  <si>
    <t>をピンで留める；を突き刺す</t>
  </si>
  <si>
    <r>
      <t>を暴く（⇔</t>
    </r>
    <r>
      <rPr>
        <sz val="13"/>
        <color indexed="8"/>
        <rFont val=".AppleSystemUIFont"/>
        <charset val="136"/>
      </rPr>
      <t xml:space="preserve"> conceal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1116</t>
    </r>
    <r>
      <rPr>
        <sz val="13"/>
        <color indexed="8"/>
        <rFont val=".Hiragino Kaku Gothic Interface"/>
      </rPr>
      <t>）；を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発掘する</t>
    </r>
  </si>
  <si>
    <t>を活用する；を搾取する，につけ込む</t>
  </si>
  <si>
    <t>を実行［実施］する</t>
  </si>
  <si>
    <t>を統合する；融合する</t>
  </si>
  <si>
    <t>を取り入れる；を法人にする；合併する</t>
  </si>
  <si>
    <t>人物の紹介；横顔；輪郭</t>
  </si>
  <si>
    <t>食欲；欲求</t>
  </si>
  <si>
    <t>衝動；刺激</t>
  </si>
  <si>
    <t>台本；筆跡</t>
  </si>
  <si>
    <t>（～周年）記念日</t>
  </si>
  <si>
    <t>年金</t>
  </si>
  <si>
    <t>気質，気性；機嫌；かんしゃく</t>
  </si>
  <si>
    <t>皮質；樹皮</t>
  </si>
  <si>
    <t>症候群；～現象</t>
  </si>
  <si>
    <r>
      <t>（特定の目的の）部屋；議場；〔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～〕議院</t>
    </r>
  </si>
  <si>
    <t>公共事業；公共料金；実用性</t>
  </si>
  <si>
    <t>〔集合的に〕牛</t>
  </si>
  <si>
    <t>（牛などの）群れ；群衆</t>
  </si>
  <si>
    <t>流動体，液体</t>
  </si>
  <si>
    <t>残念なこと；哀れみ</t>
  </si>
  <si>
    <t>聖職者</t>
  </si>
  <si>
    <t>知人；面識；知識</t>
  </si>
  <si>
    <t>子孫，子；成果</t>
  </si>
  <si>
    <t>飢饉；（食糧・物資の）ひどい不足</t>
  </si>
  <si>
    <t>森林伐採</t>
  </si>
  <si>
    <r>
      <t>刑務所，拘置所（≒</t>
    </r>
    <r>
      <rPr>
        <sz val="13"/>
        <color indexed="8"/>
        <rFont val=".AppleSystemUIFont"/>
        <charset val="136"/>
      </rPr>
      <t xml:space="preserve"> prison</t>
    </r>
    <r>
      <rPr>
        <sz val="13"/>
        <color indexed="8"/>
        <rFont val=".Hiragino Kaku Gothic Interface"/>
      </rPr>
      <t>）</t>
    </r>
  </si>
  <si>
    <t>商品；有用なもの</t>
  </si>
  <si>
    <t>書式，形式；（本などの）型</t>
  </si>
  <si>
    <t>受け取る人；（臓器などの）被提供者</t>
  </si>
  <si>
    <t>訓練；（反復）練習；ドリル，錐</t>
  </si>
  <si>
    <t>無能，無力</t>
  </si>
  <si>
    <t>共和国；共和制</t>
  </si>
  <si>
    <t>戦闘；対立</t>
  </si>
  <si>
    <t>（破壊された後の）残骸，瓦礫；がらくた</t>
  </si>
  <si>
    <t>病原菌（が起こす病気）；虫；盗聴器；（機械・プログラムの）欠陥</t>
  </si>
  <si>
    <r>
      <t>わずか（≒</t>
    </r>
    <r>
      <rPr>
        <sz val="13"/>
        <color indexed="8"/>
        <rFont val=".AppleSystemUIFont"/>
        <charset val="136"/>
      </rPr>
      <t xml:space="preserve"> bit</t>
    </r>
    <r>
      <rPr>
        <sz val="13"/>
        <color indexed="8"/>
        <rFont val=".Hiragino Kaku Gothic Interface"/>
      </rPr>
      <t>），一部；分数</t>
    </r>
  </si>
  <si>
    <t>指標；索引；指数</t>
  </si>
  <si>
    <t>直観（力），直感</t>
  </si>
  <si>
    <t>動機</t>
  </si>
  <si>
    <t>同意，承諾</t>
  </si>
  <si>
    <r>
      <t>（社会の）階層制；〔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～〕支配層</t>
    </r>
  </si>
  <si>
    <t>記念碑，遺跡；金字塔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</si>
  <si>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〕資産；価値のあるもの；利点</t>
    </r>
  </si>
  <si>
    <t>まずまずの；きちんとした；上品な</t>
  </si>
  <si>
    <t>有能な；適任の；満足できる</t>
  </si>
  <si>
    <t>単純な；率直な</t>
  </si>
  <si>
    <t>化粧の，美容の；うわべの</t>
  </si>
  <si>
    <t>繊細な；扱いにくい；もろい</t>
  </si>
  <si>
    <r>
      <t>室内の；内部の（⇔</t>
    </r>
    <r>
      <rPr>
        <sz val="13"/>
        <color indexed="8"/>
        <rFont val=".AppleSystemUIFont"/>
        <charset val="136"/>
      </rPr>
      <t xml:space="preserve"> exterior </t>
    </r>
    <r>
      <rPr>
        <sz val="13"/>
        <color indexed="8"/>
        <rFont val=".Hiragino Kaku Gothic Interface"/>
      </rPr>
      <t>外部の）</t>
    </r>
  </si>
  <si>
    <t>透明な；明快な</t>
  </si>
  <si>
    <t>美的な；美学の</t>
  </si>
  <si>
    <t>故意の；慎重な</t>
  </si>
  <si>
    <t>人口統計学の</t>
  </si>
  <si>
    <t>有史以前の；旧式な</t>
  </si>
  <si>
    <t>生まれながらの；固有の</t>
  </si>
  <si>
    <t>穏やかな；（程度が）軽い</t>
  </si>
  <si>
    <t>有毒な；中毒性の</t>
  </si>
  <si>
    <t>恥じて</t>
  </si>
  <si>
    <t>謙虚な；質素な；身分が低い</t>
  </si>
  <si>
    <t>特有の；特異な</t>
  </si>
  <si>
    <t>（傾斜が）急な；急激な；法外な</t>
  </si>
  <si>
    <t>ささいな，取るに足りない</t>
  </si>
  <si>
    <t>壮大な；見事な</t>
  </si>
  <si>
    <t>無線（電信）の，ラジオの</t>
  </si>
  <si>
    <t>継続している，進行中の</t>
  </si>
  <si>
    <t>に自信を持って言う；を保証する</t>
  </si>
  <si>
    <t>に先行する；に優先する</t>
  </si>
  <si>
    <t>を復活させる；復活する</t>
  </si>
  <si>
    <t>に強いる</t>
  </si>
  <si>
    <r>
      <t>花が咲く（≒</t>
    </r>
    <r>
      <rPr>
        <sz val="13"/>
        <color indexed="8"/>
        <rFont val=".AppleSystemUIFont"/>
        <charset val="136"/>
      </rPr>
      <t xml:space="preserve"> bloom</t>
    </r>
    <r>
      <rPr>
        <sz val="13"/>
        <color indexed="8"/>
        <rFont val=".Hiragino Kaku Gothic Interface"/>
      </rPr>
      <t>）；発展する</t>
    </r>
  </si>
  <si>
    <t>を怖がらせる；を脅かす</t>
  </si>
  <si>
    <t>（法律・規則など）に違反する；を侵害する</t>
  </si>
  <si>
    <t>を抑える；を抑圧する</t>
  </si>
  <si>
    <r>
      <t>をだます（≒</t>
    </r>
    <r>
      <rPr>
        <sz val="13"/>
        <color indexed="8"/>
        <rFont val=".AppleSystemUIFont"/>
        <charset val="136"/>
      </rPr>
      <t xml:space="preserve"> take in</t>
    </r>
    <r>
      <rPr>
        <sz val="13"/>
        <color indexed="8"/>
        <rFont val=".Hiragino Kaku Gothic Interface"/>
      </rPr>
      <t>）</t>
    </r>
  </si>
  <si>
    <t>を（巧みに）操る；を改ざんする</t>
  </si>
  <si>
    <r>
      <t>飢える；（～を）渇望する（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）；を飢えさせる</t>
    </r>
  </si>
  <si>
    <t>（から）逃げる</t>
  </si>
  <si>
    <t>（を）ささやく</t>
  </si>
  <si>
    <t>叫ぶ，どなる</t>
  </si>
  <si>
    <t>を置く；を預ける；を堆積させる</t>
  </si>
  <si>
    <t>を限定する；〔通例受身形で〕閉じ込められる</t>
  </si>
  <si>
    <t>を揺らす，振る；揺れる；（行動に）さっと移る</t>
  </si>
  <si>
    <t>を長引かせる</t>
  </si>
  <si>
    <t>を描く</t>
  </si>
  <si>
    <t>の要点を述べる；の輪郭を描く</t>
  </si>
  <si>
    <t>を捨て去る；（光など）を放つ；（涙・血）を流す</t>
  </si>
  <si>
    <t>（光・熱など）を出す，排出する；（信号）を送る</t>
  </si>
  <si>
    <t>を更新する；（資源）を再生する</t>
  </si>
  <si>
    <r>
      <t>を利用する（≒</t>
    </r>
    <r>
      <rPr>
        <sz val="13"/>
        <color indexed="8"/>
        <rFont val=".AppleSystemUIFont"/>
        <charset val="136"/>
      </rPr>
      <t xml:space="preserve"> make use of</t>
    </r>
    <r>
      <rPr>
        <sz val="13"/>
        <color indexed="8"/>
        <rFont val=".Hiragino Kaku Gothic Interface"/>
      </rPr>
      <t>）</t>
    </r>
  </si>
  <si>
    <t>を主張する</t>
  </si>
  <si>
    <t>に負担をかける；を緊張させる；を漉す</t>
  </si>
  <si>
    <t>努力する；争う</t>
  </si>
  <si>
    <r>
      <t>あえて［思い切って］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</t>
    </r>
  </si>
  <si>
    <t>を誇る；（を）自慢する</t>
  </si>
  <si>
    <r>
      <t>をびっくりさせる（≒</t>
    </r>
    <r>
      <rPr>
        <sz val="13"/>
        <color indexed="8"/>
        <rFont val=".AppleSystemUIFont"/>
        <charset val="136"/>
      </rPr>
      <t xml:space="preserve"> surprise</t>
    </r>
    <r>
      <rPr>
        <sz val="13"/>
        <color indexed="8"/>
        <rFont val=".Hiragino Kaku Gothic Interface"/>
      </rPr>
      <t>）</t>
    </r>
  </si>
  <si>
    <t>の気分を害する；（に）違反する</t>
  </si>
  <si>
    <t>（を）計算する；コンピューターを使う</t>
  </si>
  <si>
    <t>を集める；を組み立てる；集まる</t>
  </si>
  <si>
    <r>
      <t>を悪化させる；悪化する（≒</t>
    </r>
    <r>
      <rPr>
        <sz val="13"/>
        <color indexed="8"/>
        <rFont val=".AppleSystemUIFont"/>
        <charset val="136"/>
      </rPr>
      <t xml:space="preserve"> deteriorate</t>
    </r>
    <r>
      <rPr>
        <sz val="13"/>
        <color indexed="8"/>
        <rFont val=".Hiragino Kaku Gothic Interface"/>
      </rPr>
      <t>）</t>
    </r>
  </si>
  <si>
    <t>を（ぱっと）裏返す；を軽くはじく</t>
  </si>
  <si>
    <r>
      <t>（を）こする；（～に）を塗る（</t>
    </r>
    <r>
      <rPr>
        <sz val="13"/>
        <color indexed="8"/>
        <rFont val=".AppleSystemUIFont"/>
        <charset val="136"/>
      </rPr>
      <t>on / over</t>
    </r>
    <r>
      <rPr>
        <sz val="13"/>
        <color indexed="8"/>
        <rFont val=".Hiragino Kaku Gothic Interface"/>
      </rPr>
      <t>）</t>
    </r>
  </si>
  <si>
    <r>
      <t>（を）降りる（⇔</t>
    </r>
    <r>
      <rPr>
        <sz val="13"/>
        <color indexed="8"/>
        <rFont val=".AppleSystemUIFont"/>
        <charset val="136"/>
      </rPr>
      <t xml:space="preserve"> ascend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1839</t>
    </r>
    <r>
      <rPr>
        <sz val="13"/>
        <color indexed="8"/>
        <rFont val=".Hiragino Kaku Gothic Interface"/>
      </rPr>
      <t>）；受け継がれる</t>
    </r>
  </si>
  <si>
    <r>
      <t>補償する（≒</t>
    </r>
    <r>
      <rPr>
        <sz val="13"/>
        <color indexed="8"/>
        <rFont val=".AppleSystemUIFont"/>
        <charset val="136"/>
      </rPr>
      <t xml:space="preserve"> make up</t>
    </r>
    <r>
      <rPr>
        <sz val="13"/>
        <color indexed="8"/>
        <rFont val=".Hiragino Kaku Gothic Interface"/>
      </rPr>
      <t>）；に償う</t>
    </r>
  </si>
  <si>
    <t>から成る；を構成する</t>
  </si>
  <si>
    <r>
      <t>普及している；支配的である；（～に）打ち勝つ（</t>
    </r>
    <r>
      <rPr>
        <sz val="13"/>
        <color indexed="8"/>
        <rFont val=".AppleSystemUIFont"/>
        <charset val="136"/>
      </rPr>
      <t>over</t>
    </r>
    <r>
      <rPr>
        <sz val="13"/>
        <color indexed="8"/>
        <rFont val=".Hiragino Kaku Gothic Interface"/>
      </rPr>
      <t>）</t>
    </r>
  </si>
  <si>
    <t>探究</t>
  </si>
  <si>
    <t>尊厳；威厳</t>
  </si>
  <si>
    <t>（判断・評価の）基準</t>
  </si>
  <si>
    <t>逆説；矛盾</t>
  </si>
  <si>
    <t>（英国などの）議会；国会議員（団）</t>
  </si>
  <si>
    <t>法律；立法</t>
  </si>
  <si>
    <t>協議事項（リスト）；議事日程（表）；（政治上の）課題</t>
  </si>
  <si>
    <t>（活動・思潮などの）主流；大勢</t>
  </si>
  <si>
    <r>
      <t>〔～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〕軍隊；集団</t>
    </r>
  </si>
  <si>
    <t>流行（病）；蔓延</t>
  </si>
  <si>
    <t>発生，勃発</t>
  </si>
  <si>
    <t>混沌，大混乱</t>
  </si>
  <si>
    <t>悪夢（のような状況）；不安感</t>
  </si>
  <si>
    <t>恐怖；強い嫌悪；嫌な物［人］</t>
  </si>
  <si>
    <t>集団；（植物の）房，束</t>
  </si>
  <si>
    <t>花粉</t>
  </si>
  <si>
    <t>ミツバチの巣（箱）；人の集まる所</t>
  </si>
  <si>
    <t>灌漑</t>
  </si>
  <si>
    <r>
      <t>（薬の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回分の）服用量；放射線の</t>
    </r>
    <r>
      <rPr>
        <sz val="13"/>
        <color indexed="8"/>
        <rFont val=".AppleSystemUIFont"/>
        <charset val="136"/>
      </rPr>
      <t>1</t>
    </r>
    <r>
      <rPr>
        <sz val="13"/>
        <color indexed="8"/>
        <rFont val=".Hiragino Kaku Gothic Interface"/>
      </rPr>
      <t>回の照射量</t>
    </r>
  </si>
  <si>
    <t>自殺；自殺的行為</t>
  </si>
  <si>
    <t>祝宴；大ごちそう；楽しみ</t>
  </si>
  <si>
    <t>（独特の）料理，料理法</t>
  </si>
  <si>
    <t>うわさ</t>
  </si>
  <si>
    <r>
      <t>ことわざ（≒</t>
    </r>
    <r>
      <rPr>
        <sz val="13"/>
        <color indexed="8"/>
        <rFont val=".AppleSystemUIFont"/>
        <charset val="136"/>
      </rPr>
      <t xml:space="preserve"> saying</t>
    </r>
    <r>
      <rPr>
        <sz val="13"/>
        <color indexed="8"/>
        <rFont val=".Hiragino Kaku Gothic Interface"/>
      </rPr>
      <t>）</t>
    </r>
  </si>
  <si>
    <t>署名；特徴</t>
  </si>
  <si>
    <t>方法，解決策；公式</t>
  </si>
  <si>
    <r>
      <t>【主に米】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授業料（＝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【英】</t>
    </r>
    <r>
      <rPr>
        <sz val="13"/>
        <color indexed="8"/>
        <rFont val=".AppleSystemUIFont"/>
        <charset val="136"/>
      </rPr>
      <t>tuition fees</t>
    </r>
    <r>
      <rPr>
        <sz val="13"/>
        <color indexed="8"/>
        <rFont val=".Hiragino Kaku Gothic Interface"/>
      </rPr>
      <t>）；（個人）指導</t>
    </r>
  </si>
  <si>
    <t>摂取量；受け入れ数；取り入れること</t>
  </si>
  <si>
    <t>スペクトル；（波動・変動の）範囲</t>
  </si>
  <si>
    <t>腎臓</t>
  </si>
  <si>
    <t>用具（一式），器具；歯車；ギア</t>
  </si>
  <si>
    <t>（座席間などの）通路</t>
  </si>
  <si>
    <t>深い悲しみ</t>
  </si>
  <si>
    <t>運命</t>
  </si>
  <si>
    <t>頭骨，頭蓋骨；頭脳</t>
  </si>
  <si>
    <t>墓</t>
  </si>
  <si>
    <r>
      <t>修道士，僧（⇔</t>
    </r>
    <r>
      <rPr>
        <sz val="13"/>
        <color indexed="8"/>
        <rFont val=".AppleSystemUIFont"/>
        <charset val="136"/>
      </rPr>
      <t xml:space="preserve"> nun </t>
    </r>
    <r>
      <rPr>
        <sz val="13"/>
        <color indexed="8"/>
        <rFont val=".Hiragino Kaku Gothic Interface"/>
      </rPr>
      <t>修道女，尼）</t>
    </r>
  </si>
  <si>
    <t>崇拝，礼拝（式）；賛美</t>
  </si>
  <si>
    <t>際立った；未払いの；未解決の</t>
  </si>
  <si>
    <t>前例のない；空前の</t>
  </si>
  <si>
    <r>
      <t>無限の（⇔</t>
    </r>
    <r>
      <rPr>
        <sz val="13"/>
        <color indexed="8"/>
        <rFont val=".AppleSystemUIFont"/>
        <charset val="136"/>
      </rPr>
      <t xml:space="preserve"> finite </t>
    </r>
    <r>
      <rPr>
        <sz val="13"/>
        <color indexed="8"/>
        <rFont val=".Hiragino Kaku Gothic Interface"/>
      </rPr>
      <t>有限の）；無数の</t>
    </r>
  </si>
  <si>
    <t>価値がある；立派な</t>
  </si>
  <si>
    <r>
      <t>不可欠な（⇔</t>
    </r>
    <r>
      <rPr>
        <sz val="13"/>
        <color indexed="8"/>
        <rFont val=".AppleSystemUIFont"/>
        <charset val="136"/>
      </rPr>
      <t xml:space="preserve"> dispensable </t>
    </r>
    <r>
      <rPr>
        <sz val="13"/>
        <color indexed="8"/>
        <rFont val=".Hiragino Kaku Gothic Interface"/>
      </rPr>
      <t>なくてもすむ）</t>
    </r>
  </si>
  <si>
    <r>
      <t>義務的な，強制的な（⇔</t>
    </r>
    <r>
      <rPr>
        <sz val="13"/>
        <color indexed="8"/>
        <rFont val=".AppleSystemUIFont"/>
        <charset val="136"/>
      </rPr>
      <t xml:space="preserve"> voluntary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1199</t>
    </r>
    <r>
      <rPr>
        <sz val="13"/>
        <color indexed="8"/>
        <rFont val=".Hiragino Kaku Gothic Interface"/>
      </rPr>
      <t>）</t>
    </r>
  </si>
  <si>
    <t>十分にありそうな</t>
  </si>
  <si>
    <t>あいまいな；多義的な</t>
  </si>
  <si>
    <t>（世に）知られていない；不明瞭な</t>
  </si>
  <si>
    <r>
      <t>（～に）懐疑的な（</t>
    </r>
    <r>
      <rPr>
        <sz val="13"/>
        <color indexed="8"/>
        <rFont val=".AppleSystemUIFont"/>
        <charset val="136"/>
      </rPr>
      <t xml:space="preserve">of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about</t>
    </r>
    <r>
      <rPr>
        <sz val="13"/>
        <color indexed="8"/>
        <rFont val=".Hiragino Kaku Gothic Interface"/>
      </rPr>
      <t>）</t>
    </r>
  </si>
  <si>
    <t>壊れやすい；虚弱な</t>
  </si>
  <si>
    <r>
      <t>静的な（⇔</t>
    </r>
    <r>
      <rPr>
        <sz val="13"/>
        <color indexed="8"/>
        <rFont val=".AppleSystemUIFont"/>
        <charset val="136"/>
      </rPr>
      <t xml:space="preserve"> dynamic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1083</t>
    </r>
    <r>
      <rPr>
        <sz val="13"/>
        <color indexed="8"/>
        <rFont val=".Hiragino Kaku Gothic Interface"/>
      </rPr>
      <t>）；動きのない</t>
    </r>
  </si>
  <si>
    <t>徐々の，緩やかな</t>
  </si>
  <si>
    <t>声の，発声の；はっきりものを言う</t>
  </si>
  <si>
    <t>鮮やかな；生き生きとした</t>
  </si>
  <si>
    <t>帝国の；皇帝の</t>
  </si>
  <si>
    <r>
      <t>敵意のある（⇔</t>
    </r>
    <r>
      <rPr>
        <sz val="13"/>
        <color indexed="8"/>
        <rFont val=".AppleSystemUIFont"/>
        <charset val="136"/>
      </rPr>
      <t xml:space="preserve">friendly </t>
    </r>
    <r>
      <rPr>
        <sz val="13"/>
        <color indexed="8"/>
        <rFont val=".Hiragino Kaku Gothic Interface"/>
      </rPr>
      <t>友好的な）</t>
    </r>
  </si>
  <si>
    <t>表面的な</t>
  </si>
  <si>
    <t>乏しい；珍しい</t>
  </si>
  <si>
    <t>総計の；甚だしい；粗野な</t>
  </si>
  <si>
    <t>生来の，本来的に備わっている</t>
  </si>
  <si>
    <t>注目に値する；著名な</t>
  </si>
  <si>
    <t>を最新のものにする；をアップデートする</t>
  </si>
  <si>
    <t>（気分）をさわやかにする；（記憶など）を新たにする；を最新のものにする</t>
  </si>
  <si>
    <t>花が咲く；栄える</t>
  </si>
  <si>
    <t>を征服する；を克服する</t>
  </si>
  <si>
    <t>を引き起こす；を説得する</t>
  </si>
  <si>
    <t>を獲得する，達成する；に達する</t>
  </si>
  <si>
    <t>を吹きかける，に吹きつける</t>
  </si>
  <si>
    <t>（情報）を検索する；を取り戻す；を回復する</t>
  </si>
  <si>
    <t>を描く；（の役）を演じる</t>
  </si>
  <si>
    <t>を引っかく；を取り消す，削除する</t>
  </si>
  <si>
    <t>を指定する；を任命する</t>
  </si>
  <si>
    <t>と矛盾する；に反対意見を言う</t>
  </si>
  <si>
    <t>ため息をつく</t>
  </si>
  <si>
    <t>を混乱させる；を分裂させる</t>
  </si>
  <si>
    <r>
      <t>出発する；（～から）それる（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</t>
    </r>
  </si>
  <si>
    <t>（を）誘導する；（を）操縦する；（を）航行する</t>
  </si>
  <si>
    <r>
      <t>に（～を）切に頼む（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）；（を）懇願する</t>
    </r>
  </si>
  <si>
    <t>に住んでいる；に宿る，存する</t>
  </si>
  <si>
    <t>（を）診断する</t>
  </si>
  <si>
    <t>を理解する</t>
  </si>
  <si>
    <t>に義務づける；に恩恵を施す</t>
  </si>
  <si>
    <t>に詰め込む；詰め込み勉強をする</t>
  </si>
  <si>
    <t>群がる，集まる</t>
  </si>
  <si>
    <r>
      <t>（を）過小評価する（⇔</t>
    </r>
    <r>
      <rPr>
        <sz val="13"/>
        <color indexed="8"/>
        <rFont val=".AppleSystemUIFont"/>
        <charset val="136"/>
      </rPr>
      <t xml:space="preserve"> overestimate </t>
    </r>
    <r>
      <rPr>
        <sz val="13"/>
        <color indexed="8"/>
        <rFont val=".Hiragino Kaku Gothic Interface"/>
      </rPr>
      <t>（を）過大評価する）；（を）軽く見る；を少なく見積もる</t>
    </r>
  </si>
  <si>
    <t>を明確にする</t>
  </si>
  <si>
    <t>を引き起こす；を刺激する；スパークする</t>
  </si>
  <si>
    <t>をつかむ；を奪い取る；を没収する</t>
  </si>
  <si>
    <t>急上昇する；空高く飛ぶ</t>
  </si>
  <si>
    <t>光り［照り］輝く；赤く燃える；紅潮する</t>
  </si>
  <si>
    <r>
      <t>を（～に）変装させる（</t>
    </r>
    <r>
      <rPr>
        <sz val="13"/>
        <color indexed="8"/>
        <rFont val=".AppleSystemUIFont"/>
        <charset val="136"/>
      </rPr>
      <t>as</t>
    </r>
    <r>
      <rPr>
        <sz val="13"/>
        <color indexed="8"/>
        <rFont val=".Hiragino Kaku Gothic Interface"/>
      </rPr>
      <t>）；を偽る</t>
    </r>
  </si>
  <si>
    <t>を歪める；歪む</t>
  </si>
  <si>
    <t>を徐々にむしばむ；を侵食する</t>
  </si>
  <si>
    <r>
      <t>を廃止する（≒</t>
    </r>
    <r>
      <rPr>
        <sz val="13"/>
        <color indexed="8"/>
        <rFont val=".AppleSystemUIFont"/>
        <charset val="136"/>
      </rPr>
      <t xml:space="preserve"> do away with</t>
    </r>
    <r>
      <rPr>
        <sz val="13"/>
        <color indexed="8"/>
        <rFont val=".Hiragino Kaku Gothic Interface"/>
      </rPr>
      <t>）</t>
    </r>
  </si>
  <si>
    <t>を［から］取り去る；を裸にする</t>
  </si>
  <si>
    <r>
      <t>〔</t>
    </r>
    <r>
      <rPr>
        <sz val="13"/>
        <color indexed="8"/>
        <rFont val=".AppleSystemUIFont"/>
        <charset val="136"/>
      </rPr>
      <t>dispose of</t>
    </r>
    <r>
      <rPr>
        <sz val="13"/>
        <color indexed="8"/>
        <rFont val=".Hiragino Kaku Gothic Interface"/>
      </rPr>
      <t>で〕を処分する；を（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する）気にさせる（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）；を配置する</t>
    </r>
  </si>
  <si>
    <t>を投棄する；をどさっと落とす</t>
  </si>
  <si>
    <t>を織る；（計画・物語など）を作り上げる</t>
  </si>
  <si>
    <t>を洗練する；を精製する</t>
  </si>
  <si>
    <t>を豊かにする；（物質）を濃縮化する</t>
  </si>
  <si>
    <t>を調整する；を組織する；（服など）をコーディネートする</t>
  </si>
  <si>
    <t>（新聞などの）見出し</t>
  </si>
  <si>
    <r>
      <t>【米】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実務［医学］研修；研修期間</t>
    </r>
  </si>
  <si>
    <r>
      <t>直売店，特売店；はけ口；【米】（電気の）コンセント（≒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【英】</t>
    </r>
    <r>
      <rPr>
        <sz val="13"/>
        <color indexed="8"/>
        <rFont val=".AppleSystemUIFont"/>
        <charset val="136"/>
      </rPr>
      <t>socket</t>
    </r>
    <r>
      <rPr>
        <sz val="13"/>
        <color indexed="8"/>
        <rFont val=".Hiragino Kaku Gothic Interface"/>
      </rPr>
      <t>）</t>
    </r>
  </si>
  <si>
    <t>治療（法）；治療薬；解決法</t>
  </si>
  <si>
    <r>
      <t>錠剤，丸薬；〔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～〕ピル，経口避妊薬</t>
    </r>
  </si>
  <si>
    <t>反応；宴会；受付；受信（状態）</t>
  </si>
  <si>
    <t>（商）取引；（人と人との）交流</t>
  </si>
  <si>
    <t>突然変異（体）；変化</t>
  </si>
  <si>
    <t>〔集合的に〕乳製品；乳製品加工所［販売者］</t>
  </si>
  <si>
    <t>同情</t>
  </si>
  <si>
    <t>姿勢；心構え</t>
  </si>
  <si>
    <r>
      <t>悪態，ののしりの言葉；呪い；〔通例</t>
    </r>
    <r>
      <rPr>
        <sz val="13"/>
        <color indexed="8"/>
        <rFont val=".AppleSystemUIFont"/>
        <charset val="136"/>
      </rPr>
      <t xml:space="preserve">a </t>
    </r>
    <r>
      <rPr>
        <sz val="13"/>
        <color indexed="8"/>
        <rFont val=".Hiragino Kaku Gothic Interface"/>
      </rPr>
      <t>～〕災い</t>
    </r>
  </si>
  <si>
    <t>葬式</t>
  </si>
  <si>
    <t>国勢調査；交通調査</t>
  </si>
  <si>
    <t>百科事典</t>
  </si>
  <si>
    <r>
      <t>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〕穀物；シリアル（穀物加工食品）</t>
    </r>
  </si>
  <si>
    <t>断片</t>
  </si>
  <si>
    <t>（～の）部分，斑点；継ぎ；貼り薬</t>
  </si>
  <si>
    <r>
      <t>【英】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ごみ（≒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garbage</t>
    </r>
    <r>
      <rPr>
        <sz val="13"/>
        <color indexed="8"/>
        <rFont val=".Hiragino Kaku Gothic Interface"/>
      </rPr>
      <t>）；つまらないもの</t>
    </r>
  </si>
  <si>
    <r>
      <t>迷路（≒</t>
    </r>
    <r>
      <rPr>
        <sz val="13"/>
        <color indexed="8"/>
        <rFont val=".AppleSystemUIFont"/>
        <charset val="136"/>
      </rPr>
      <t xml:space="preserve"> labyrinth</t>
    </r>
    <r>
      <rPr>
        <sz val="13"/>
        <color indexed="8"/>
        <rFont val=".Hiragino Kaku Gothic Interface"/>
      </rPr>
      <t>）；複雑に込み入ったもの</t>
    </r>
  </si>
  <si>
    <t>見解；見通し；眺め</t>
  </si>
  <si>
    <t>大発見，飛躍的進歩</t>
  </si>
  <si>
    <t>勝利；勝利の喜び；偉業</t>
  </si>
  <si>
    <t>同盟国；提携者；援助者；盟友</t>
  </si>
  <si>
    <t>（試合などの）観客</t>
  </si>
  <si>
    <t>領域；球体；天体</t>
  </si>
  <si>
    <r>
      <t>【米】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郡；【英】州</t>
    </r>
  </si>
  <si>
    <t>利益，味方</t>
  </si>
  <si>
    <t>（時間の）間隔；合間；隔たり；小休止</t>
  </si>
  <si>
    <t>循環；流通；（新聞・雑誌の）発行部数</t>
  </si>
  <si>
    <t>刃；（プロペラなどの）羽根；（草などの）葉</t>
  </si>
  <si>
    <t>窃盗（罪）</t>
  </si>
  <si>
    <t>真空；空虚</t>
  </si>
  <si>
    <t>衝突；対立</t>
  </si>
  <si>
    <t>買い得品；取引；契約</t>
  </si>
  <si>
    <t>（ある場所の）目印；画期的な出来事</t>
  </si>
  <si>
    <r>
      <t>歳入（⇔</t>
    </r>
    <r>
      <rPr>
        <sz val="13"/>
        <color indexed="8"/>
        <rFont val=".AppleSystemUIFont"/>
        <charset val="136"/>
      </rPr>
      <t xml:space="preserve"> expenditure </t>
    </r>
    <r>
      <rPr>
        <sz val="13"/>
        <color indexed="8"/>
        <rFont val=".Hiragino Kaku Gothic Interface"/>
      </rPr>
      <t>歳出）；収益</t>
    </r>
  </si>
  <si>
    <t>（国家間の）条約；協定</t>
  </si>
  <si>
    <t>最高の</t>
  </si>
  <si>
    <t>徹底的な；まったくの</t>
  </si>
  <si>
    <t>裸の</t>
  </si>
  <si>
    <t>心からの；誠実な</t>
  </si>
  <si>
    <t>飼いならされた，人に慣れた；退屈な</t>
  </si>
  <si>
    <t>不十分な；不適当な</t>
  </si>
  <si>
    <t>薄暗い；ぼんやりした</t>
  </si>
  <si>
    <r>
      <t>（痛み・感情などが）激しい；（知覚などが）鋭い；急性の（⇔</t>
    </r>
    <r>
      <rPr>
        <sz val="13"/>
        <color indexed="8"/>
        <rFont val=".AppleSystemUIFont"/>
        <charset val="136"/>
      </rPr>
      <t xml:space="preserve"> chronic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1198</t>
    </r>
    <r>
      <rPr>
        <sz val="13"/>
        <color indexed="8"/>
        <rFont val=".Hiragino Kaku Gothic Interface"/>
      </rPr>
      <t>）</t>
    </r>
  </si>
  <si>
    <t>障害のある；障害者用の</t>
  </si>
  <si>
    <t>大都市の，首都圏の</t>
  </si>
  <si>
    <t>金銭的な；金融の</t>
  </si>
  <si>
    <r>
      <t>代わりの（≒</t>
    </r>
    <r>
      <rPr>
        <sz val="13"/>
        <color indexed="8"/>
        <rFont val=".AppleSystemUIFont"/>
        <charset val="136"/>
      </rPr>
      <t xml:space="preserve"> alternative</t>
    </r>
    <r>
      <rPr>
        <sz val="13"/>
        <color indexed="8"/>
        <rFont val=".Hiragino Kaku Gothic Interface"/>
      </rPr>
      <t>）；交互の</t>
    </r>
  </si>
  <si>
    <r>
      <t>部分的な；不公平な（⇔</t>
    </r>
    <r>
      <rPr>
        <sz val="13"/>
        <color indexed="8"/>
        <rFont val=".AppleSystemUIFont"/>
        <charset val="136"/>
      </rPr>
      <t xml:space="preserve">impartial </t>
    </r>
    <r>
      <rPr>
        <sz val="13"/>
        <color indexed="8"/>
        <rFont val=".Hiragino Kaku Gothic Interface"/>
      </rPr>
      <t>公平な）</t>
    </r>
  </si>
  <si>
    <t>神の；神にささげる</t>
  </si>
  <si>
    <t>徹底的な，抜本的な；極端な</t>
  </si>
  <si>
    <t>猛烈な；どう猛な</t>
  </si>
  <si>
    <t>唯一の；単独の；独占的な</t>
  </si>
  <si>
    <t>自然発生的な；自発的な</t>
  </si>
  <si>
    <t>空間の</t>
  </si>
  <si>
    <t>きちんとした；見事な</t>
  </si>
  <si>
    <t>きちんとした，整頓された；相当の</t>
  </si>
  <si>
    <r>
      <t>（～に）忠実な（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）；誠実な</t>
    </r>
  </si>
  <si>
    <t>に恩恵を与える；に感謝する</t>
  </si>
  <si>
    <t>を取り戻す</t>
  </si>
  <si>
    <t>順応する；一致する</t>
  </si>
  <si>
    <t>登録する，入会する；を登録させる</t>
  </si>
  <si>
    <t>に権利を与える；に題名をつける</t>
  </si>
  <si>
    <t>を止める；止まる</t>
  </si>
  <si>
    <t>（感情・行動など）を引き起こす；を挑発する</t>
  </si>
  <si>
    <t>を侵略する；を侵害する；（場所）に殺到する</t>
  </si>
  <si>
    <t>押し入る；を押し込む；（を）搾る；（を）強く押す</t>
  </si>
  <si>
    <t>はう；ゆっくり進む</t>
  </si>
  <si>
    <t>を消化する；を理解する；を要約する</t>
  </si>
  <si>
    <t>（声）を発する；（考えなど）を述べる</t>
  </si>
  <si>
    <t>控える</t>
  </si>
  <si>
    <t>に住む，の住民である；に人を住まわせる</t>
  </si>
  <si>
    <r>
      <t>を収容する；を（～に）適応させる（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</si>
  <si>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（を）操縦する；を（～へ）向ける（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</si>
  <si>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溺死する；を水浸しにする</t>
  </si>
  <si>
    <r>
      <t>を浸す；（手など）を（～に）突っ込む（</t>
    </r>
    <r>
      <rPr>
        <sz val="13"/>
        <color indexed="8"/>
        <rFont val=".AppleSystemUIFont"/>
        <charset val="136"/>
      </rPr>
      <t>into / in</t>
    </r>
    <r>
      <rPr>
        <sz val="13"/>
        <color indexed="8"/>
        <rFont val=".Hiragino Kaku Gothic Interface"/>
      </rPr>
      <t>）；下がる</t>
    </r>
  </si>
  <si>
    <t>を浸す；をずぶぬれにする；浸る</t>
  </si>
  <si>
    <t>をかき回す；を揺り動かす</t>
  </si>
  <si>
    <t>を移植する；を移住させる</t>
  </si>
  <si>
    <t>を安心させる</t>
  </si>
  <si>
    <t>（を）再開する；を取り戻す</t>
  </si>
  <si>
    <t>（と）推測する；投機する</t>
  </si>
  <si>
    <t>を上回る</t>
  </si>
  <si>
    <t>を任命する；（日時・場所など）を指定する</t>
  </si>
  <si>
    <t>に興味を持たせる；陰謀を企てる</t>
  </si>
  <si>
    <r>
      <t>腐敗する（≒</t>
    </r>
    <r>
      <rPr>
        <sz val="13"/>
        <color indexed="8"/>
        <rFont val=".AppleSystemUIFont"/>
        <charset val="136"/>
      </rPr>
      <t xml:space="preserve"> rot</t>
    </r>
    <r>
      <rPr>
        <sz val="13"/>
        <color indexed="8"/>
        <rFont val=".Hiragino Kaku Gothic Interface"/>
      </rPr>
      <t>）；（徐々に）衰える</t>
    </r>
  </si>
  <si>
    <t>を汚染する；を堕落させる</t>
  </si>
  <si>
    <t>膨張する，腫れる；を膨らませる</t>
  </si>
  <si>
    <t>を削除する，消す</t>
  </si>
  <si>
    <r>
      <t>を許容する，我慢する（≒</t>
    </r>
    <r>
      <rPr>
        <sz val="13"/>
        <color indexed="8"/>
        <rFont val=".AppleSystemUIFont"/>
        <charset val="136"/>
      </rPr>
      <t xml:space="preserve"> put up with</t>
    </r>
    <r>
      <rPr>
        <sz val="13"/>
        <color indexed="8"/>
        <rFont val=".Hiragino Kaku Gothic Interface"/>
      </rPr>
      <t>）</t>
    </r>
  </si>
  <si>
    <t>をうらやむ</t>
  </si>
  <si>
    <t>（を）祈る</t>
  </si>
  <si>
    <t>（を）告白する</t>
  </si>
  <si>
    <t>（を）辞任する；を放棄する</t>
  </si>
  <si>
    <t>（を）溶かす；（議会など）を解散する；（契約など）を解消する；溶ける</t>
  </si>
  <si>
    <t>（閉じたもの）を開く；を明らかにする；開く；明らかになる</t>
  </si>
  <si>
    <r>
      <t>を目覚めさせる；（～から）覚める（</t>
    </r>
    <r>
      <rPr>
        <sz val="13"/>
        <color indexed="8"/>
        <rFont val=".AppleSystemUIFont"/>
        <charset val="136"/>
      </rPr>
      <t>from</t>
    </r>
    <r>
      <rPr>
        <sz val="13"/>
        <color indexed="8"/>
        <rFont val=".Hiragino Kaku Gothic Interface"/>
      </rPr>
      <t>）</t>
    </r>
  </si>
  <si>
    <t>（を）思いつく；と想像する；（を）妊娠する</t>
  </si>
  <si>
    <t>起業家，事業家</t>
  </si>
  <si>
    <r>
      <t>利害関係；〔通例～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〕賭け金；杭</t>
    </r>
  </si>
  <si>
    <r>
      <t>余剰（⇔</t>
    </r>
    <r>
      <rPr>
        <sz val="13"/>
        <color indexed="8"/>
        <rFont val=".AppleSystemUIFont"/>
        <charset val="136"/>
      </rPr>
      <t xml:space="preserve"> shortage </t>
    </r>
    <r>
      <rPr>
        <sz val="13"/>
        <color indexed="8"/>
        <rFont val=".Hiragino Kaku Gothic Interface"/>
      </rPr>
      <t>不足），過剰；黒字</t>
    </r>
  </si>
  <si>
    <t>インフレ（ーション）；（物価の）高騰</t>
  </si>
  <si>
    <t>搾取工場</t>
  </si>
  <si>
    <t>衝突；対立；かち合うこと；ガチャンという音</t>
  </si>
  <si>
    <t>社会学</t>
  </si>
  <si>
    <t>イデオロギー，思想傾向</t>
  </si>
  <si>
    <t>余白；差；利ざや</t>
  </si>
  <si>
    <t>領域；領土</t>
  </si>
  <si>
    <r>
      <t>分野；領域；ドメイン（＝</t>
    </r>
    <r>
      <rPr>
        <sz val="13"/>
        <color indexed="8"/>
        <rFont val=".AppleSystemUIFont"/>
        <charset val="136"/>
      </rPr>
      <t xml:space="preserve"> domain name</t>
    </r>
    <r>
      <rPr>
        <sz val="13"/>
        <color indexed="8"/>
        <rFont val=".Hiragino Kaku Gothic Interface"/>
      </rPr>
      <t>）</t>
    </r>
  </si>
  <si>
    <t>アルゴリズム；問題解決の手順</t>
  </si>
  <si>
    <t>大草原</t>
  </si>
  <si>
    <r>
      <t>〔通例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〕最先端；〔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【米】辺境地；国境</t>
    </r>
  </si>
  <si>
    <t>銃弾</t>
  </si>
  <si>
    <t>盾，防御物</t>
  </si>
  <si>
    <t>絶望</t>
  </si>
  <si>
    <t>放射能，放射線</t>
  </si>
  <si>
    <t>偽薬，プラシーボ；気休め</t>
  </si>
  <si>
    <t>託児所；苗床</t>
  </si>
  <si>
    <t>配偶者</t>
  </si>
  <si>
    <t>化粧；化粧品；構成；性質</t>
  </si>
  <si>
    <r>
      <t>ミイラ；【英】ママ，お母さん（＝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mommy</t>
    </r>
    <r>
      <rPr>
        <sz val="13"/>
        <color indexed="8"/>
        <rFont val=".Hiragino Kaku Gothic Interface"/>
      </rPr>
      <t>）</t>
    </r>
  </si>
  <si>
    <t>（人・動物の）肉；果肉</t>
  </si>
  <si>
    <t>手足</t>
  </si>
  <si>
    <t>におい；気配</t>
  </si>
  <si>
    <t>洗濯（物）；クリーニング店</t>
  </si>
  <si>
    <t>潮（の干満）；動向</t>
  </si>
  <si>
    <t>アンケート</t>
  </si>
  <si>
    <t>ばかげた物［話，考え］；無意味な言葉</t>
  </si>
  <si>
    <t>復讐</t>
  </si>
  <si>
    <r>
      <t>知性；〔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～（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）〕知識人</t>
    </r>
  </si>
  <si>
    <t>親切なもてなし，歓待；受容性</t>
  </si>
  <si>
    <t>司書，図書館員</t>
  </si>
  <si>
    <t>（手書きの）原稿；写本</t>
  </si>
  <si>
    <t>（考えなどに）取りつかれること；妄想；強迫観念</t>
  </si>
  <si>
    <t>衛生（状態）；健康法</t>
  </si>
  <si>
    <t>理論的枠組み，パラダイム；模範</t>
  </si>
  <si>
    <t>合法的な；妥当な</t>
  </si>
  <si>
    <t>本物の；信頼できる</t>
  </si>
  <si>
    <t>経験的な；経験主義の</t>
  </si>
  <si>
    <t>膨大な</t>
  </si>
  <si>
    <t>ばかげた；不合理な</t>
  </si>
  <si>
    <r>
      <t>異様な（≒</t>
    </r>
    <r>
      <rPr>
        <sz val="13"/>
        <color indexed="8"/>
        <rFont val=".AppleSystemUIFont"/>
        <charset val="136"/>
      </rPr>
      <t xml:space="preserve"> bizarre</t>
    </r>
    <r>
      <rPr>
        <sz val="13"/>
        <color indexed="8"/>
        <rFont val=".Hiragino Kaku Gothic Interface"/>
      </rPr>
      <t>），奇妙な</t>
    </r>
  </si>
  <si>
    <t>偶然の；過失による</t>
  </si>
  <si>
    <t>不安な；落ち着かない；ぎこちない</t>
  </si>
  <si>
    <t>嫉妬深い；用心深い</t>
  </si>
  <si>
    <r>
      <t>女らしい（⇔</t>
    </r>
    <r>
      <rPr>
        <sz val="13"/>
        <color indexed="8"/>
        <rFont val=".AppleSystemUIFont"/>
        <charset val="136"/>
      </rPr>
      <t xml:space="preserve"> masculine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1681</t>
    </r>
    <r>
      <rPr>
        <sz val="13"/>
        <color indexed="8"/>
        <rFont val=".Hiragino Kaku Gothic Interface"/>
      </rPr>
      <t>）</t>
    </r>
  </si>
  <si>
    <t>素早い</t>
  </si>
  <si>
    <t>空洞の；空虚な；うわべだけの</t>
  </si>
  <si>
    <t>大まかな；粗野な；未精製の</t>
  </si>
  <si>
    <t>痛い；腹が立って</t>
  </si>
  <si>
    <r>
      <t>悲観的な（⇔</t>
    </r>
    <r>
      <rPr>
        <sz val="13"/>
        <color indexed="8"/>
        <rFont val=".AppleSystemUIFont"/>
        <charset val="136"/>
      </rPr>
      <t xml:space="preserve"> optimistic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882</t>
    </r>
    <r>
      <rPr>
        <sz val="13"/>
        <color indexed="8"/>
        <rFont val=".Hiragino Kaku Gothic Interface"/>
      </rPr>
      <t>）</t>
    </r>
  </si>
  <si>
    <t>無駄な；うぬぼれた</t>
  </si>
  <si>
    <r>
      <t>（～の）影響を受けやすい（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）；感染しやすい</t>
    </r>
  </si>
  <si>
    <t>食用の，食べられる</t>
  </si>
  <si>
    <t>純然たる，真の；すごい；（布が）薄地の</t>
  </si>
  <si>
    <r>
      <t>明白な（⇔</t>
    </r>
    <r>
      <rPr>
        <sz val="13"/>
        <color indexed="8"/>
        <rFont val=".AppleSystemUIFont"/>
        <charset val="136"/>
      </rPr>
      <t xml:space="preserve"> implicit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1795</t>
    </r>
    <r>
      <rPr>
        <sz val="13"/>
        <color indexed="8"/>
        <rFont val=".Hiragino Kaku Gothic Interface"/>
      </rPr>
      <t>）；率直な</t>
    </r>
  </si>
  <si>
    <r>
      <t>（～に）なりやすい（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する）傾向がある（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</t>
    </r>
  </si>
  <si>
    <t>裕福な；豊富な</t>
  </si>
  <si>
    <r>
      <t>共同して働く；（～に）協力する（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</si>
  <si>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を及ぼす；（力など）を行使する</t>
  </si>
  <si>
    <r>
      <t>（～で）秀でている（</t>
    </r>
    <r>
      <rPr>
        <sz val="13"/>
        <color indexed="8"/>
        <rFont val=".AppleSystemUIFont"/>
        <charset val="136"/>
      </rPr>
      <t>in / at</t>
    </r>
    <r>
      <rPr>
        <sz val="13"/>
        <color indexed="8"/>
        <rFont val=".Hiragino Kaku Gothic Interface"/>
      </rPr>
      <t>）；に勝る</t>
    </r>
  </si>
  <si>
    <t>栄える，成功する；繁殖する</t>
  </si>
  <si>
    <t>殺到する；（感情が）こみ上げる；急騰する</t>
  </si>
  <si>
    <r>
      <t>（～に）介入する（</t>
    </r>
    <r>
      <rPr>
        <sz val="13"/>
        <color indexed="8"/>
        <rFont val=".AppleSystemUIFont"/>
        <charset val="136"/>
      </rPr>
      <t>in</t>
    </r>
    <r>
      <rPr>
        <sz val="13"/>
        <color indexed="8"/>
        <rFont val=".Hiragino Kaku Gothic Interface"/>
      </rPr>
      <t>）；介在する</t>
    </r>
  </si>
  <si>
    <t>を挿入する</t>
  </si>
  <si>
    <r>
      <t>を追い抜く；に追いつく（≒</t>
    </r>
    <r>
      <rPr>
        <sz val="13"/>
        <color indexed="8"/>
        <rFont val=".AppleSystemUIFont"/>
        <charset val="136"/>
      </rPr>
      <t xml:space="preserve"> catch up with</t>
    </r>
    <r>
      <rPr>
        <sz val="13"/>
        <color indexed="8"/>
        <rFont val=".Hiragino Kaku Gothic Interface"/>
      </rPr>
      <t>）；（災難・強い感情などが）を襲う</t>
    </r>
  </si>
  <si>
    <t>をパチンと鳴らす；をポキッと折る；ポキッと折れる；パチンと音を立てる</t>
  </si>
  <si>
    <t>を彫る；を切り開く；（肉）を切り分ける</t>
  </si>
  <si>
    <r>
      <t>〔受身形で〕（～の）中毒になる（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）；（～に）凝る</t>
    </r>
  </si>
  <si>
    <r>
      <t>を非難する；〔受身形で〕（～の刑を）宣告される（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</si>
  <si>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に有罪を宣告する</t>
  </si>
  <si>
    <t>を指図する；を書き取らせる；を規定する</t>
  </si>
  <si>
    <t>（薬など）を処方する；を規定する</t>
  </si>
  <si>
    <t>を抑制する；を妨げる</t>
  </si>
  <si>
    <t>はぐれる，（道に）迷う</t>
  </si>
  <si>
    <t>（を）歩き回る；放浪する</t>
  </si>
  <si>
    <t>を同封する；を取り囲む</t>
  </si>
  <si>
    <t>を実行する；を処刑する</t>
  </si>
  <si>
    <t>同時に起こる；一致する</t>
  </si>
  <si>
    <t>遅れる；徐々に弱まる</t>
  </si>
  <si>
    <t>しがみつく；くっつく</t>
  </si>
  <si>
    <t>を消す</t>
  </si>
  <si>
    <t>（穀物など）をひく</t>
  </si>
  <si>
    <t>を編む；を結合する；編み物をする</t>
  </si>
  <si>
    <t>（を）尋ねる</t>
  </si>
  <si>
    <t>をうっかり表す；を裏切る</t>
  </si>
  <si>
    <t>漏れる；を漏らす</t>
  </si>
  <si>
    <t>を粉砕する；を強打する；粉々に壊れる；激突する</t>
  </si>
  <si>
    <t>跳ねる；反射する；を弾ませる；（Ｅメールが）（宛先不明で）返送される</t>
  </si>
  <si>
    <t>（都市などが）不規則に広がる；だらしなく手足を伸ばす</t>
  </si>
  <si>
    <r>
      <t>（～と）会話をする（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</si>
  <si>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を暗唱する；を詳述する</t>
  </si>
  <si>
    <t>を無視する；を軽視する</t>
  </si>
  <si>
    <t>眉をひそめる</t>
  </si>
  <si>
    <t>を呼び起こす</t>
  </si>
  <si>
    <t>を誓う，約束する；を与えることを約束する</t>
  </si>
  <si>
    <r>
      <t>（～を）熱望する（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</si>
  <si>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t>（を）熟考する；を予想する</t>
  </si>
  <si>
    <t>優美，優雅；分別；（神の）恩寵</t>
  </si>
  <si>
    <t>啓蒙，啓発</t>
  </si>
  <si>
    <t>商業；貿易</t>
  </si>
  <si>
    <t>下書き；為替手形；隙間風</t>
  </si>
  <si>
    <t>バレル（液量の単位）；たる</t>
  </si>
  <si>
    <r>
      <t>【英】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木材（≒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lumber</t>
    </r>
    <r>
      <rPr>
        <sz val="13"/>
        <color indexed="8"/>
        <rFont val=".Hiragino Kaku Gothic Interface"/>
      </rPr>
      <t>）；樹木</t>
    </r>
  </si>
  <si>
    <t>衣服</t>
  </si>
  <si>
    <t>糸；（議論などの）筋道</t>
  </si>
  <si>
    <r>
      <t>〔しばしば</t>
    </r>
    <r>
      <rPr>
        <sz val="13"/>
        <color indexed="8"/>
        <rFont val=".AppleSystemUIFont"/>
        <charset val="136"/>
      </rPr>
      <t>the C-</t>
    </r>
    <r>
      <rPr>
        <sz val="13"/>
        <color indexed="8"/>
        <rFont val=".Hiragino Kaku Gothic Interface"/>
      </rPr>
      <t>〕内閣；戸棚</t>
    </r>
  </si>
  <si>
    <t>（官庁の）局；事務局；案内所</t>
  </si>
  <si>
    <t>（個人の）自律；自治（権）；自治体</t>
  </si>
  <si>
    <t>損害（の程度）；死傷者数；通行料</t>
  </si>
  <si>
    <t>話し合い，会話；講演；論説</t>
  </si>
  <si>
    <t>迷信</t>
  </si>
  <si>
    <t>ちらりと見えること</t>
  </si>
  <si>
    <t>計算；算数</t>
  </si>
  <si>
    <t>用語小辞典；用語集</t>
  </si>
  <si>
    <r>
      <t>〔しばしば～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〕記録文書，公文書；公文書保管所；（コンピューターの）アーカイブ</t>
    </r>
  </si>
  <si>
    <t>人類学</t>
  </si>
  <si>
    <t>激怒；猛威</t>
  </si>
  <si>
    <t>悲しみ</t>
  </si>
  <si>
    <t>精神科医</t>
  </si>
  <si>
    <t>行政区；病棟</t>
  </si>
  <si>
    <t>露店；エンスト；失速</t>
  </si>
  <si>
    <t>炎；情熱</t>
  </si>
  <si>
    <t>水分；湿気</t>
  </si>
  <si>
    <t>皮肉</t>
  </si>
  <si>
    <t>戦士</t>
  </si>
  <si>
    <t>天文学</t>
  </si>
  <si>
    <r>
      <t>（無人）宇宙探査機；（～の）精査（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）；探り針</t>
    </r>
  </si>
  <si>
    <t>高度，標高</t>
  </si>
  <si>
    <t>腫瘍；腫れ物</t>
  </si>
  <si>
    <t>欠陥；不足</t>
  </si>
  <si>
    <t>公衆衛生（学）；下水［衛生］設備</t>
  </si>
  <si>
    <t>長寿；寿命；長年勤続</t>
  </si>
  <si>
    <t>（活動・能力などの）範囲；余地</t>
  </si>
  <si>
    <t>感情；感想；感傷</t>
  </si>
  <si>
    <t>もっともらしい</t>
  </si>
  <si>
    <t>精力的な；激しい；活力のある</t>
  </si>
  <si>
    <r>
      <t>男らしい（⇔</t>
    </r>
    <r>
      <rPr>
        <sz val="13"/>
        <color indexed="8"/>
        <rFont val=".AppleSystemUIFont"/>
        <charset val="136"/>
      </rPr>
      <t xml:space="preserve"> feminine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1588</t>
    </r>
    <r>
      <rPr>
        <sz val="13"/>
        <color indexed="8"/>
        <rFont val=".Hiragino Kaku Gothic Interface"/>
      </rPr>
      <t>）</t>
    </r>
  </si>
  <si>
    <t>厳しい；硬直した</t>
  </si>
  <si>
    <t>不都合な；逆の</t>
  </si>
  <si>
    <t>一貫した，筋の通った；結束した</t>
  </si>
  <si>
    <t>文字どおりの；逐語的な；散文的な</t>
  </si>
  <si>
    <t>恣意的な；独断的な</t>
  </si>
  <si>
    <t>匿名の</t>
  </si>
  <si>
    <t>骨董の，アンティークの；古風な</t>
  </si>
  <si>
    <t>永遠の；不変の</t>
  </si>
  <si>
    <t>中級の；中間の</t>
  </si>
  <si>
    <r>
      <t>（～より）下位の（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）；副次的な</t>
    </r>
  </si>
  <si>
    <t>陰気な；薄暗い；悲観的な</t>
  </si>
  <si>
    <t>熱の，熱による；保温用の</t>
  </si>
  <si>
    <t>かすかな；めまいがする；弱々しい</t>
  </si>
  <si>
    <t>お人よしの，愚直な；純朴な</t>
  </si>
  <si>
    <r>
      <t>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する）傾向がある（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）；適切な；利発な</t>
    </r>
  </si>
  <si>
    <t>横柄な，傲慢な</t>
  </si>
  <si>
    <t>外向的な；社交的な</t>
  </si>
  <si>
    <t>目立つ</t>
  </si>
  <si>
    <t>損なわれていない，手つかずの</t>
  </si>
  <si>
    <t>を具現する；を包含する</t>
  </si>
  <si>
    <t>を照らす；を解明する</t>
  </si>
  <si>
    <t>を慰める</t>
  </si>
  <si>
    <t>の正しさを証明［確認］する</t>
  </si>
  <si>
    <t>を公表する，暴く</t>
  </si>
  <si>
    <r>
      <t>を積む，積み重ねる；〔～</t>
    </r>
    <r>
      <rPr>
        <sz val="13"/>
        <color indexed="8"/>
        <rFont val=".AppleSystemUIFont"/>
        <charset val="136"/>
      </rPr>
      <t xml:space="preserve"> up</t>
    </r>
    <r>
      <rPr>
        <sz val="13"/>
        <color indexed="8"/>
        <rFont val=".Hiragino Kaku Gothic Interface"/>
      </rPr>
      <t>で〕（車が）渋滞する</t>
    </r>
  </si>
  <si>
    <t>回転する；循環する；を回転させる</t>
  </si>
  <si>
    <r>
      <t>に（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することを）強いる（</t>
    </r>
    <r>
      <rPr>
        <sz val="13"/>
        <color indexed="8"/>
        <rFont val=".AppleSystemUIFont"/>
        <charset val="136"/>
      </rPr>
      <t>to do</t>
    </r>
    <r>
      <rPr>
        <sz val="13"/>
        <color indexed="8"/>
        <rFont val=".Hiragino Kaku Gothic Interface"/>
      </rPr>
      <t>）；を抑える</t>
    </r>
  </si>
  <si>
    <t>を妨げる</t>
  </si>
  <si>
    <t>に耐える</t>
  </si>
  <si>
    <t>（を）ツイートする，つぶやく</t>
  </si>
  <si>
    <t>くしゃみをする</t>
  </si>
  <si>
    <t>（火山が）噴火する；勃発する</t>
  </si>
  <si>
    <t>をぼかす；を曇らせる；をあいまいにする</t>
  </si>
  <si>
    <t>（一部）重なる；（と）重複［共通］する</t>
  </si>
  <si>
    <t>〔通例受身形で〕埋め込まれる，はめ込まれる</t>
  </si>
  <si>
    <r>
      <t>に取って代わる（≒</t>
    </r>
    <r>
      <rPr>
        <sz val="13"/>
        <color indexed="8"/>
        <rFont val=".AppleSystemUIFont"/>
        <charset val="136"/>
      </rPr>
      <t xml:space="preserve"> replace</t>
    </r>
    <r>
      <rPr>
        <sz val="13"/>
        <color indexed="8"/>
        <rFont val=".Hiragino Kaku Gothic Interface"/>
      </rPr>
      <t>）；を移動させる</t>
    </r>
  </si>
  <si>
    <t>を（ある状態に）する；（援助など）を与える</t>
  </si>
  <si>
    <r>
      <t>（～に）（を）突っ込む（</t>
    </r>
    <r>
      <rPr>
        <sz val="13"/>
        <color indexed="8"/>
        <rFont val=".AppleSystemUIFont"/>
        <charset val="136"/>
      </rPr>
      <t>into</t>
    </r>
    <r>
      <rPr>
        <sz val="13"/>
        <color indexed="8"/>
        <rFont val=".Hiragino Kaku Gothic Interface"/>
      </rPr>
      <t>）；没頭する；陥る</t>
    </r>
  </si>
  <si>
    <r>
      <t>を放棄する，引き渡す；（～に）屈する（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</t>
    </r>
  </si>
  <si>
    <r>
      <t>〔</t>
    </r>
    <r>
      <rPr>
        <sz val="13"/>
        <color indexed="8"/>
        <rFont val=".AppleSystemUIFont"/>
        <charset val="136"/>
      </rPr>
      <t>plug in</t>
    </r>
    <r>
      <rPr>
        <sz val="13"/>
        <color indexed="8"/>
        <rFont val=".Hiragino Kaku Gothic Interface"/>
      </rPr>
      <t>で〕のプラグを電源に差し込む；を（～で）ふさぐ（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</si>
  <si>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（を）吸う；（を）しゃぶる</t>
  </si>
  <si>
    <r>
      <t>をばかにする（≒</t>
    </r>
    <r>
      <rPr>
        <sz val="13"/>
        <color indexed="8"/>
        <rFont val=".AppleSystemUIFont"/>
        <charset val="136"/>
      </rPr>
      <t xml:space="preserve"> make fun of</t>
    </r>
    <r>
      <rPr>
        <sz val="13"/>
        <color indexed="8"/>
        <rFont val=".Hiragino Kaku Gothic Interface"/>
      </rPr>
      <t>）；のまねをしてからかう</t>
    </r>
  </si>
  <si>
    <t>（を）からかう；をいじめる</t>
  </si>
  <si>
    <t>をなだめる；を和らげる</t>
  </si>
  <si>
    <t>を汚す；に着色する</t>
  </si>
  <si>
    <r>
      <t>よろけながら歩く；（～に）つまずく（</t>
    </r>
    <r>
      <rPr>
        <sz val="13"/>
        <color indexed="8"/>
        <rFont val=".AppleSystemUIFont"/>
        <charset val="136"/>
      </rPr>
      <t>on / over</t>
    </r>
    <r>
      <rPr>
        <sz val="13"/>
        <color indexed="8"/>
        <rFont val=".Hiragino Kaku Gothic Interface"/>
      </rPr>
      <t>）</t>
    </r>
  </si>
  <si>
    <t>を紅潮させる；を水で流す；紅潮する</t>
  </si>
  <si>
    <t>を損なう</t>
  </si>
  <si>
    <t>と思う；と推定する；を前提とする</t>
  </si>
  <si>
    <t>と主張する；競う</t>
  </si>
  <si>
    <t>うなる，ほえる；大笑いする</t>
  </si>
  <si>
    <t>（記憶・考えなどが）につきまとう；（幽霊などが）に出る；によく行く</t>
  </si>
  <si>
    <t>（注意など）をそらす；を迂回させる；（資金など）を転用する</t>
  </si>
  <si>
    <r>
      <t>を待つ（≒</t>
    </r>
    <r>
      <rPr>
        <sz val="13"/>
        <color indexed="8"/>
        <rFont val=".AppleSystemUIFont"/>
        <charset val="136"/>
      </rPr>
      <t xml:space="preserve"> wait for</t>
    </r>
    <r>
      <rPr>
        <sz val="13"/>
        <color indexed="8"/>
        <rFont val=".Hiragino Kaku Gothic Interface"/>
      </rPr>
      <t>）</t>
    </r>
  </si>
  <si>
    <t>を（行って）持って［連れて］くる</t>
  </si>
  <si>
    <t>を統合［統一］する；統一される</t>
  </si>
  <si>
    <t>を点検する；を視察する</t>
  </si>
  <si>
    <r>
      <t>を伴う，引き起こす；（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すること）を含む（</t>
    </r>
    <r>
      <rPr>
        <sz val="13"/>
        <color indexed="8"/>
        <rFont val=".AppleSystemUIFont"/>
        <charset val="136"/>
      </rPr>
      <t>doing</t>
    </r>
    <r>
      <rPr>
        <sz val="13"/>
        <color indexed="8"/>
        <rFont val=".Hiragino Kaku Gothic Interface"/>
      </rPr>
      <t>）</t>
    </r>
  </si>
  <si>
    <t>作戦，方策；戦術，戦法</t>
  </si>
  <si>
    <t>偉業，功績；妙技</t>
  </si>
  <si>
    <t>名声；〔形容詞的に〕名声のある</t>
  </si>
  <si>
    <t>類推；類似</t>
  </si>
  <si>
    <t>良心；分別</t>
  </si>
  <si>
    <t>織物；繊維（産業）</t>
  </si>
  <si>
    <t>赤字，不足；欠陥</t>
  </si>
  <si>
    <t>疫病；（害虫などの）異常発生</t>
  </si>
  <si>
    <t>危険（要素）；偶然</t>
  </si>
  <si>
    <t>（新陳）代謝，代謝作用</t>
  </si>
  <si>
    <t>麻痺；〔比喩的に〕麻痺（状態）</t>
  </si>
  <si>
    <t>（電気などの）供給網；格子（模様）；碁盤目</t>
  </si>
  <si>
    <r>
      <t>馬車；車両（＝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【米】</t>
    </r>
    <r>
      <rPr>
        <sz val="13"/>
        <color indexed="8"/>
        <rFont val=".AppleSystemUIFont"/>
        <charset val="136"/>
      </rPr>
      <t>car</t>
    </r>
    <r>
      <rPr>
        <sz val="13"/>
        <color indexed="8"/>
        <rFont val=".Hiragino Kaku Gothic Interface"/>
      </rPr>
      <t>）；立ち居振舞い；【英】輸送</t>
    </r>
  </si>
  <si>
    <t>不和；摩擦</t>
  </si>
  <si>
    <t>反逆者</t>
  </si>
  <si>
    <t>政権，政体；体制</t>
  </si>
  <si>
    <t>独占（権）</t>
  </si>
  <si>
    <t>必需食品；主要産物</t>
  </si>
  <si>
    <t>商品</t>
  </si>
  <si>
    <t>物売り，行商人；自動販売機</t>
  </si>
  <si>
    <t>監督者；指導教員</t>
  </si>
  <si>
    <r>
      <t>前任者（⇔</t>
    </r>
    <r>
      <rPr>
        <sz val="13"/>
        <color indexed="8"/>
        <rFont val=".AppleSystemUIFont"/>
        <charset val="136"/>
      </rPr>
      <t xml:space="preserve"> successor </t>
    </r>
    <r>
      <rPr>
        <sz val="13"/>
        <color indexed="8"/>
        <rFont val=".Hiragino Kaku Gothic Interface"/>
      </rPr>
      <t>後継者）；前のもの</t>
    </r>
  </si>
  <si>
    <t>〔集合的に〕職員，社員</t>
  </si>
  <si>
    <t>船舶；容器；（体液が通る）脈管</t>
  </si>
  <si>
    <t>肝臓</t>
  </si>
  <si>
    <t>（時間の）継続，持続（時間）</t>
  </si>
  <si>
    <t>証明書；免許状</t>
  </si>
  <si>
    <t>幾何学</t>
  </si>
  <si>
    <r>
      <t>（左右）対称（⇔</t>
    </r>
    <r>
      <rPr>
        <sz val="13"/>
        <color indexed="8"/>
        <rFont val=".AppleSystemUIFont"/>
        <charset val="136"/>
      </rPr>
      <t xml:space="preserve"> asymmetry </t>
    </r>
    <r>
      <rPr>
        <sz val="13"/>
        <color indexed="8"/>
        <rFont val=".Hiragino Kaku Gothic Interface"/>
      </rPr>
      <t>非対称）；調和</t>
    </r>
  </si>
  <si>
    <t>伝記</t>
  </si>
  <si>
    <t>傑作</t>
  </si>
  <si>
    <r>
      <t>押韻詩；韻；〔通例～</t>
    </r>
    <r>
      <rPr>
        <sz val="13"/>
        <color indexed="8"/>
        <rFont val=".AppleSystemUIFont"/>
        <charset val="136"/>
      </rPr>
      <t>s</t>
    </r>
    <r>
      <rPr>
        <sz val="13"/>
        <color indexed="8"/>
        <rFont val=".Hiragino Kaku Gothic Interface"/>
      </rPr>
      <t>〕詩歌</t>
    </r>
  </si>
  <si>
    <t>保険料；プレミア；景品</t>
  </si>
  <si>
    <t>崩壊；（神経）衰弱；故障；内訳</t>
  </si>
  <si>
    <t>礼儀正しさ；好意；優遇</t>
  </si>
  <si>
    <t>（条約）議定書；外交儀礼；プロトコル</t>
  </si>
  <si>
    <t>標本；実例</t>
  </si>
  <si>
    <t>論文；命題，テーゼ</t>
  </si>
  <si>
    <t>適格の，資格のある；（結婚相手として）望ましい</t>
  </si>
  <si>
    <r>
      <t>固有の，本質的な（⇔</t>
    </r>
    <r>
      <rPr>
        <sz val="13"/>
        <color indexed="8"/>
        <rFont val=".AppleSystemUIFont"/>
        <charset val="136"/>
      </rPr>
      <t xml:space="preserve"> extrinsic </t>
    </r>
    <r>
      <rPr>
        <sz val="13"/>
        <color indexed="8"/>
        <rFont val=".Hiragino Kaku Gothic Interface"/>
      </rPr>
      <t>非本質的な）</t>
    </r>
  </si>
  <si>
    <t>勤勉な；入念な</t>
  </si>
  <si>
    <t>職業の，職業訓練の（ための）</t>
  </si>
  <si>
    <t>破産宣告を受けた；破綻している</t>
  </si>
  <si>
    <t>厳しい；いかめしい</t>
  </si>
  <si>
    <r>
      <t>頑固な，強情な（≒</t>
    </r>
    <r>
      <rPr>
        <sz val="13"/>
        <color indexed="8"/>
        <rFont val=".AppleSystemUIFont"/>
        <charset val="136"/>
      </rPr>
      <t xml:space="preserve"> obstinate</t>
    </r>
    <r>
      <rPr>
        <sz val="13"/>
        <color indexed="8"/>
        <rFont val=".Hiragino Kaku Gothic Interface"/>
      </rPr>
      <t>）；手に負えない</t>
    </r>
  </si>
  <si>
    <r>
      <t>母の，母親らしい（⇔</t>
    </r>
    <r>
      <rPr>
        <sz val="13"/>
        <color indexed="8"/>
        <rFont val=".AppleSystemUIFont"/>
        <charset val="136"/>
      </rPr>
      <t xml:space="preserve"> paternal </t>
    </r>
    <r>
      <rPr>
        <sz val="13"/>
        <color indexed="8"/>
        <rFont val=".Hiragino Kaku Gothic Interface"/>
      </rPr>
      <t>父の）；妊婦の</t>
    </r>
  </si>
  <si>
    <r>
      <t>肥沃な（⇔</t>
    </r>
    <r>
      <rPr>
        <sz val="13"/>
        <color indexed="8"/>
        <rFont val=".AppleSystemUIFont"/>
        <charset val="136"/>
      </rPr>
      <t xml:space="preserve"> barren </t>
    </r>
    <r>
      <rPr>
        <sz val="13"/>
        <color indexed="8"/>
        <rFont val=".Hiragino Kaku Gothic Interface"/>
      </rPr>
      <t>不毛の）；多産の</t>
    </r>
  </si>
  <si>
    <t>熟した；成熟した</t>
  </si>
  <si>
    <t>硬直した，凝った；堅い</t>
  </si>
  <si>
    <t>廃れた，使われなくなった；古くなった</t>
  </si>
  <si>
    <t>空いている</t>
  </si>
  <si>
    <t>音響の；聴覚の；（楽器が）アコースティックの</t>
  </si>
  <si>
    <t>予備の，準備の</t>
  </si>
  <si>
    <t>おおよその</t>
  </si>
  <si>
    <r>
      <t>暗黙の（⇔</t>
    </r>
    <r>
      <rPr>
        <sz val="13"/>
        <color indexed="8"/>
        <rFont val=".AppleSystemUIFont"/>
        <charset val="136"/>
      </rPr>
      <t xml:space="preserve"> explicit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1598</t>
    </r>
    <r>
      <rPr>
        <sz val="13"/>
        <color indexed="8"/>
        <rFont val=".Hiragino Kaku Gothic Interface"/>
      </rPr>
      <t>）；内在する</t>
    </r>
  </si>
  <si>
    <t>時間を守る</t>
  </si>
  <si>
    <t>矛盾しない；互換性のある；気が合う</t>
  </si>
  <si>
    <t>十分すぎるほどの；広い</t>
  </si>
  <si>
    <t>隅々に広がった；浸透する；充満する</t>
  </si>
  <si>
    <t>至る所にある</t>
  </si>
  <si>
    <t>を推測する，演繹する</t>
  </si>
  <si>
    <t>を模擬実験する；を装う；をまねる</t>
  </si>
  <si>
    <t>（を）合併する；を融合させる；溶け込む</t>
  </si>
  <si>
    <t>（に）浸透する；（に）進出する；（を）貫く；（を）見抜く</t>
  </si>
  <si>
    <t>（の）料理をまかなう；（要望などに）応える</t>
  </si>
  <si>
    <t>に暴行する；を攻撃する</t>
  </si>
  <si>
    <t>を拷問にかける；を苦しめる</t>
  </si>
  <si>
    <t>出血する</t>
  </si>
  <si>
    <t>を建てる；を直立させる</t>
  </si>
  <si>
    <t>を大切にする；を心に抱く</t>
  </si>
  <si>
    <t>（感情など）を引き起こす；を目覚めさせる</t>
  </si>
  <si>
    <t>〔通例受身形で〕運命にある</t>
  </si>
  <si>
    <r>
      <t>（を）悼む（≒</t>
    </r>
    <r>
      <rPr>
        <sz val="13"/>
        <color indexed="8"/>
        <rFont val=".AppleSystemUIFont"/>
        <charset val="136"/>
      </rPr>
      <t xml:space="preserve"> grieve</t>
    </r>
    <r>
      <rPr>
        <sz val="13"/>
        <color indexed="8"/>
        <rFont val=".Hiragino Kaku Gothic Interface"/>
      </rPr>
      <t>）；（を）嘆く</t>
    </r>
  </si>
  <si>
    <t>をひどく恐れる</t>
  </si>
  <si>
    <t>に栄養を与える；をはぐくむ</t>
  </si>
  <si>
    <t>（人）に注射する，を注入する；を導入する</t>
  </si>
  <si>
    <r>
      <t>（～を）ののしる（</t>
    </r>
    <r>
      <rPr>
        <sz val="13"/>
        <color indexed="8"/>
        <rFont val=".AppleSystemUIFont"/>
        <charset val="136"/>
      </rPr>
      <t>at</t>
    </r>
    <r>
      <rPr>
        <sz val="13"/>
        <color indexed="8"/>
        <rFont val=".Hiragino Kaku Gothic Interface"/>
      </rPr>
      <t>）；（を）誓う（≒</t>
    </r>
    <r>
      <rPr>
        <sz val="13"/>
        <color indexed="8"/>
        <rFont val=".AppleSystemUIFont"/>
        <charset val="136"/>
      </rPr>
      <t xml:space="preserve"> vow</t>
    </r>
    <r>
      <rPr>
        <sz val="13"/>
        <color indexed="8"/>
        <rFont val=".Hiragino Kaku Gothic Interface"/>
      </rPr>
      <t>）</t>
    </r>
  </si>
  <si>
    <r>
      <t>（～に）の値をつける（</t>
    </r>
    <r>
      <rPr>
        <sz val="13"/>
        <color indexed="8"/>
        <rFont val=".AppleSystemUIFont"/>
        <charset val="136"/>
      </rPr>
      <t xml:space="preserve">for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on</t>
    </r>
    <r>
      <rPr>
        <sz val="13"/>
        <color indexed="8"/>
        <rFont val=".Hiragino Kaku Gothic Interface"/>
      </rPr>
      <t>）；（挨拶）を述べる</t>
    </r>
  </si>
  <si>
    <t>を堕落させる；を買収する；堕落する</t>
  </si>
  <si>
    <t>の心を奪う，を夢中にさせる</t>
  </si>
  <si>
    <t>（を）拾い読みする；（を）閲覧する；（商品など）を見て歩く</t>
  </si>
  <si>
    <t>を編集する；（資料など）をまとめる</t>
  </si>
  <si>
    <t>を割り当てる，分配する</t>
  </si>
  <si>
    <t>を相殺する，埋め合わせる；をオフセット印刷にする</t>
  </si>
  <si>
    <t>を制止する；を規制する</t>
  </si>
  <si>
    <t>従う，応じる</t>
  </si>
  <si>
    <t>期限が切れる</t>
  </si>
  <si>
    <r>
      <t>（～に）乗り出す（</t>
    </r>
    <r>
      <rPr>
        <sz val="13"/>
        <color indexed="8"/>
        <rFont val=".AppleSystemUIFont"/>
        <charset val="136"/>
      </rPr>
      <t>on</t>
    </r>
    <r>
      <rPr>
        <sz val="13"/>
        <color indexed="8"/>
        <rFont val=".Hiragino Kaku Gothic Interface"/>
      </rPr>
      <t>）；乗船［搭乗］する</t>
    </r>
  </si>
  <si>
    <r>
      <t>パタパタ動く；羽ばたく（≒</t>
    </r>
    <r>
      <rPr>
        <sz val="13"/>
        <color indexed="8"/>
        <rFont val=".AppleSystemUIFont"/>
        <charset val="136"/>
      </rPr>
      <t xml:space="preserve"> flutter</t>
    </r>
    <r>
      <rPr>
        <sz val="13"/>
        <color indexed="8"/>
        <rFont val=".Hiragino Kaku Gothic Interface"/>
      </rPr>
      <t>）；をパタパタ動かす</t>
    </r>
  </si>
  <si>
    <r>
      <t>に（～を）備えつける（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</t>
    </r>
  </si>
  <si>
    <t>を偽造する；（関係など）を築く；を鍛造する</t>
  </si>
  <si>
    <t>を押しつける；を突き刺す；押し進む</t>
  </si>
  <si>
    <t>を派遣する；を発送する；を処理する</t>
  </si>
  <si>
    <t>に憤慨する</t>
  </si>
  <si>
    <r>
      <t>を（～と）一致させる（</t>
    </r>
    <r>
      <rPr>
        <sz val="13"/>
        <color indexed="8"/>
        <rFont val=".AppleSystemUIFont"/>
        <charset val="136"/>
      </rPr>
      <t>with</t>
    </r>
    <r>
      <rPr>
        <sz val="13"/>
        <color indexed="8"/>
        <rFont val=".Hiragino Kaku Gothic Interface"/>
      </rPr>
      <t>）；を和解させる</t>
    </r>
  </si>
  <si>
    <t>を抑圧［迫害］する；を悩ませる</t>
  </si>
  <si>
    <t>を追放する；を吐き出す</t>
  </si>
  <si>
    <r>
      <t>（を）上がる（⇔</t>
    </r>
    <r>
      <rPr>
        <sz val="13"/>
        <color indexed="8"/>
        <rFont val=".AppleSystemUIFont"/>
        <charset val="136"/>
      </rPr>
      <t xml:space="preserve"> descend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1337</t>
    </r>
    <r>
      <rPr>
        <sz val="13"/>
        <color indexed="8"/>
        <rFont val=".Hiragino Kaku Gothic Interface"/>
      </rPr>
      <t>）</t>
    </r>
  </si>
  <si>
    <r>
      <t>始まる；を開始する；</t>
    </r>
    <r>
      <rPr>
        <sz val="13"/>
        <color indexed="8"/>
        <rFont val=".AppleSystemUIFont"/>
        <charset val="136"/>
      </rPr>
      <t>...</t>
    </r>
    <r>
      <rPr>
        <sz val="13"/>
        <color indexed="8"/>
        <rFont val=".Hiragino Kaku Gothic Interface"/>
      </rPr>
      <t>し始める（</t>
    </r>
    <r>
      <rPr>
        <sz val="13"/>
        <color indexed="8"/>
        <rFont val=".AppleSystemUIFont"/>
        <charset val="136"/>
      </rPr>
      <t>to do / doing</t>
    </r>
    <r>
      <rPr>
        <sz val="13"/>
        <color indexed="8"/>
        <rFont val=".Hiragino Kaku Gothic Interface"/>
      </rPr>
      <t>）⇒</t>
    </r>
    <r>
      <rPr>
        <sz val="13"/>
        <color indexed="8"/>
        <rFont val=".AppleSystemUIFont"/>
        <charset val="136"/>
      </rPr>
      <t xml:space="preserve"> commence work </t>
    </r>
    <r>
      <rPr>
        <sz val="13"/>
        <color indexed="8"/>
        <rFont val=".Hiragino Kaku Gothic Interface"/>
      </rPr>
      <t>仕事［作業］を始める</t>
    </r>
  </si>
  <si>
    <r>
      <t>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～〕出現，到来</t>
    </r>
  </si>
  <si>
    <t>治世；統治</t>
  </si>
  <si>
    <t>外交（的手腕）</t>
  </si>
  <si>
    <t>大使館；大使一行</t>
  </si>
  <si>
    <t>亡命（者）；（国外）追放</t>
  </si>
  <si>
    <t>避難（所）；保護</t>
  </si>
  <si>
    <r>
      <t>窮状（＝</t>
    </r>
    <r>
      <rPr>
        <sz val="13"/>
        <color indexed="8"/>
        <rFont val=".AppleSystemUIFont"/>
        <charset val="136"/>
      </rPr>
      <t xml:space="preserve"> predicament</t>
    </r>
    <r>
      <rPr>
        <sz val="13"/>
        <color indexed="8"/>
        <rFont val=".Hiragino Kaku Gothic Interface"/>
      </rPr>
      <t>）；（悪い）状態</t>
    </r>
  </si>
  <si>
    <t>ひとりでいること；孤独</t>
  </si>
  <si>
    <t>誤った考え，誤信；錯誤</t>
  </si>
  <si>
    <t>緯度；（行動・思想などの）許容範囲</t>
  </si>
  <si>
    <t>（日食・月食などの）食；（名声などの）失墜</t>
  </si>
  <si>
    <t>流域；盆地，海盆；洗面器［台］</t>
  </si>
  <si>
    <t>浸食；衰退</t>
  </si>
  <si>
    <t>考古学</t>
  </si>
  <si>
    <t>（人の）使い，使い走り；用件</t>
  </si>
  <si>
    <r>
      <t>慈悲；〔通例</t>
    </r>
    <r>
      <rPr>
        <sz val="13"/>
        <color indexed="8"/>
        <rFont val=".AppleSystemUIFont"/>
        <charset val="136"/>
      </rPr>
      <t xml:space="preserve">a </t>
    </r>
    <r>
      <rPr>
        <sz val="13"/>
        <color indexed="8"/>
        <rFont val=".Hiragino Kaku Gothic Interface"/>
      </rPr>
      <t>～〕幸運</t>
    </r>
  </si>
  <si>
    <t>修辞（法）；美辞麗句</t>
  </si>
  <si>
    <r>
      <t>韻文（⇔</t>
    </r>
    <r>
      <rPr>
        <sz val="13"/>
        <color indexed="8"/>
        <rFont val=".AppleSystemUIFont"/>
        <charset val="136"/>
      </rPr>
      <t xml:space="preserve"> prose </t>
    </r>
    <r>
      <rPr>
        <sz val="13"/>
        <color indexed="8"/>
        <rFont val=".Hiragino Kaku Gothic Interface"/>
      </rPr>
      <t>散文）；詩</t>
    </r>
  </si>
  <si>
    <t>混雑</t>
  </si>
  <si>
    <t>下水</t>
  </si>
  <si>
    <r>
      <t>（～の）補完物，補足（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）；（文法の）補語</t>
    </r>
  </si>
  <si>
    <t>補助金；報奨金</t>
  </si>
  <si>
    <t>住宅ローン；抵当（権）</t>
  </si>
  <si>
    <r>
      <t>【米】</t>
    </r>
    <r>
      <rPr>
        <sz val="13"/>
        <color indexed="8"/>
        <rFont val=".AppleSystemUIFont"/>
        <charset val="136"/>
      </rPr>
      <t xml:space="preserve"> </t>
    </r>
    <r>
      <rPr>
        <sz val="13"/>
        <color indexed="8"/>
        <rFont val=".Hiragino Kaku Gothic Interface"/>
      </rPr>
      <t>弁護士；代理人</t>
    </r>
  </si>
  <si>
    <t>衣装一式；装備［道具］一式；組織</t>
  </si>
  <si>
    <r>
      <t>〔</t>
    </r>
    <r>
      <rPr>
        <sz val="13"/>
        <color indexed="8"/>
        <rFont val=".AppleSystemUIFont"/>
        <charset val="136"/>
      </rPr>
      <t xml:space="preserve">the </t>
    </r>
    <r>
      <rPr>
        <sz val="13"/>
        <color indexed="8"/>
        <rFont val=".Hiragino Kaku Gothic Interface"/>
      </rPr>
      <t>～〕（～の）大半（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）；大きさ；大量</t>
    </r>
  </si>
  <si>
    <t>再会（の集い）；再結合</t>
  </si>
  <si>
    <r>
      <t>合成；総合（⇔</t>
    </r>
    <r>
      <rPr>
        <sz val="13"/>
        <color indexed="8"/>
        <rFont val=".AppleSystemUIFont"/>
        <charset val="136"/>
      </rPr>
      <t xml:space="preserve"> analysis </t>
    </r>
    <r>
      <rPr>
        <sz val="13"/>
        <color indexed="8"/>
        <rFont val=".Hiragino Kaku Gothic Interface"/>
      </rPr>
      <t>⇒</t>
    </r>
    <r>
      <rPr>
        <sz val="13"/>
        <color indexed="8"/>
        <rFont val=".AppleSystemUIFont"/>
        <charset val="136"/>
      </rPr>
      <t xml:space="preserve"> 363</t>
    </r>
    <r>
      <rPr>
        <sz val="13"/>
        <color indexed="8"/>
        <rFont val=".Hiragino Kaku Gothic Interface"/>
      </rPr>
      <t>）</t>
    </r>
  </si>
  <si>
    <t>鋳型；鋳物；性格；かび</t>
  </si>
  <si>
    <r>
      <t>（のどの）渇き；（～に対する）渇望（</t>
    </r>
    <r>
      <rPr>
        <sz val="13"/>
        <color indexed="8"/>
        <rFont val=".AppleSystemUIFont"/>
        <charset val="136"/>
      </rPr>
      <t>for</t>
    </r>
    <r>
      <rPr>
        <sz val="13"/>
        <color indexed="8"/>
        <rFont val=".Hiragino Kaku Gothic Interface"/>
      </rPr>
      <t>）</t>
    </r>
  </si>
  <si>
    <t>強欲</t>
  </si>
  <si>
    <t>賄賂</t>
  </si>
  <si>
    <t>軽蔑；恥辱</t>
  </si>
  <si>
    <t>感触，手触り；本質；質感</t>
  </si>
  <si>
    <t>孤児</t>
  </si>
  <si>
    <t>嫌がらせ，ハラスメント</t>
  </si>
  <si>
    <t>干し草</t>
  </si>
  <si>
    <t>教義；【米】（政策上の）主義</t>
  </si>
  <si>
    <t>全体論の；（医療が）ホリスティックの</t>
  </si>
  <si>
    <r>
      <t>しがちな；（～を）受けやすい（</t>
    </r>
    <r>
      <rPr>
        <sz val="13"/>
        <color indexed="8"/>
        <rFont val=".AppleSystemUIFont"/>
        <charset val="136"/>
      </rPr>
      <t>to</t>
    </r>
    <r>
      <rPr>
        <sz val="13"/>
        <color indexed="8"/>
        <rFont val=".Hiragino Kaku Gothic Interface"/>
      </rPr>
      <t>）；責任がある</t>
    </r>
  </si>
  <si>
    <t>まじめな，熱心な</t>
  </si>
  <si>
    <t>（簡単に）理解できる</t>
  </si>
  <si>
    <r>
      <t>突然の（≒</t>
    </r>
    <r>
      <rPr>
        <sz val="13"/>
        <color indexed="8"/>
        <rFont val=".AppleSystemUIFont"/>
        <charset val="136"/>
      </rPr>
      <t xml:space="preserve"> sudden</t>
    </r>
    <r>
      <rPr>
        <sz val="13"/>
        <color indexed="8"/>
        <rFont val=".Hiragino Kaku Gothic Interface"/>
      </rPr>
      <t>）</t>
    </r>
  </si>
  <si>
    <r>
      <t>無謀な；（～を）顧みない（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</si>
  <si>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t>激怒した；猛烈な</t>
  </si>
  <si>
    <t>雄弁な；説得力のある</t>
  </si>
  <si>
    <t>青少年の</t>
  </si>
  <si>
    <r>
      <t>悪名高い（≒</t>
    </r>
    <r>
      <rPr>
        <sz val="13"/>
        <color indexed="8"/>
        <rFont val=".AppleSystemUIFont"/>
        <charset val="136"/>
      </rPr>
      <t xml:space="preserve"> infamous</t>
    </r>
    <r>
      <rPr>
        <sz val="13"/>
        <color indexed="8"/>
        <rFont val=".Hiragino Kaku Gothic Interface"/>
      </rPr>
      <t>）</t>
    </r>
  </si>
  <si>
    <t>臆病な；内気な</t>
  </si>
  <si>
    <r>
      <t>湿気のある（≒</t>
    </r>
    <r>
      <rPr>
        <sz val="13"/>
        <color indexed="8"/>
        <rFont val=".AppleSystemUIFont"/>
        <charset val="136"/>
      </rPr>
      <t xml:space="preserve"> muggy </t>
    </r>
    <r>
      <rPr>
        <sz val="13"/>
        <color indexed="8"/>
        <rFont val=".Hiragino Kaku Gothic Interface"/>
      </rPr>
      <t>蒸し暑い）</t>
    </r>
  </si>
  <si>
    <t>感染（性）の；病気を伝染する</t>
  </si>
  <si>
    <t>冷笑的な，皮肉な</t>
  </si>
  <si>
    <t>ばかげた；口のきけない；無言の</t>
  </si>
  <si>
    <t>単調な</t>
  </si>
  <si>
    <t>永続的な；ひっきりなしの</t>
  </si>
  <si>
    <t>目まいがする；当惑した</t>
  </si>
  <si>
    <r>
      <t>疲れ果てた；（～に）うんざりした（</t>
    </r>
    <r>
      <rPr>
        <sz val="13"/>
        <color indexed="8"/>
        <rFont val=".AppleSystemUIFont"/>
        <charset val="136"/>
      </rPr>
      <t>of</t>
    </r>
    <r>
      <rPr>
        <sz val="13"/>
        <color indexed="8"/>
        <rFont val=".Hiragino Kaku Gothic Interface"/>
      </rPr>
      <t>）</t>
    </r>
  </si>
  <si>
    <t>麻痺した，無感覚な；ぼう然とした</t>
  </si>
  <si>
    <r>
      <t>致命的な（≒</t>
    </r>
    <r>
      <rPr>
        <sz val="13"/>
        <color indexed="8"/>
        <rFont val=".AppleSystemUIFont"/>
        <charset val="136"/>
      </rPr>
      <t xml:space="preserve"> fatal</t>
    </r>
    <r>
      <rPr>
        <sz val="13"/>
        <color indexed="8"/>
        <rFont val=".Hiragino Kaku Gothic Interface"/>
      </rPr>
      <t>）；死すべき（運命の）（⇔</t>
    </r>
    <r>
      <rPr>
        <sz val="13"/>
        <color indexed="8"/>
        <rFont val=".AppleSystemUIFont"/>
        <charset val="136"/>
      </rPr>
      <t xml:space="preserve"> immortal </t>
    </r>
    <r>
      <rPr>
        <sz val="13"/>
        <color indexed="8"/>
        <rFont val=".Hiragino Kaku Gothic Interface"/>
      </rPr>
      <t>不死の）</t>
    </r>
  </si>
  <si>
    <t>熱心な；熱狂的な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</si>
</sst>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00"/>
  </numFmts>
  <fonts count="26"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</font>
    <font>
      <sz val="13"/>
      <color indexed="8"/>
      <name val=".Hiragino Kaku Gothic Interface"/>
    </font>
    <font>
      <u/>
      <sz val="11"/>
      <color theme="10"/>
      <name val="游ゴシック"/>
      <family val="3"/>
      <charset val="128"/>
      <scheme val="minor"/>
    </font>
    <font>
      <sz val="11"/>
      <color theme="1"/>
      <name val="ＭＳ ゴシック"/>
      <family val="2"/>
      <charset val="128"/>
    </font>
    <font>
      <sz val="12"/>
      <color rgb="FF222222"/>
      <name val="Arial"/>
      <family val="2"/>
    </font>
    <font>
      <b/>
      <sz val="24"/>
      <color theme="1"/>
      <name val="HGP教科書体"/>
      <charset val="128"/>
    </font>
    <font>
      <sz val="16"/>
      <color theme="1"/>
      <name val="HGP教科書体"/>
      <charset val="128"/>
    </font>
    <font>
      <sz val="18"/>
      <color theme="1"/>
      <name val="Arial"/>
      <family val="2"/>
    </font>
    <font>
      <sz val="14"/>
      <color theme="1"/>
      <name val="HGP教科書体"/>
      <charset val="128"/>
    </font>
    <font>
      <sz val="11"/>
      <color theme="1"/>
      <name val="HG丸ｺﾞｼｯｸM-PRO"/>
      <family val="2"/>
      <charset val="128"/>
    </font>
    <font>
      <sz val="11"/>
      <color theme="0"/>
      <name val="HG丸ｺﾞｼｯｸM-PRO"/>
      <family val="2"/>
      <charset val="128"/>
    </font>
    <font>
      <sz val="10"/>
      <color theme="0"/>
      <name val="HG丸ｺﾞｼｯｸM-PRO"/>
      <family val="2"/>
      <charset val="128"/>
    </font>
    <font>
      <sz val="10"/>
      <color theme="1"/>
      <name val="HG丸ｺﾞｼｯｸM-PRO"/>
      <family val="2"/>
      <charset val="128"/>
    </font>
    <font>
      <sz val="14"/>
      <color theme="1"/>
      <name val="HG丸ｺﾞｼｯｸM-PRO"/>
      <family val="2"/>
      <charset val="128"/>
    </font>
    <font>
      <sz val="36"/>
      <color theme="1"/>
      <name val="ＭＳ ゴシック"/>
      <family val="2"/>
      <charset val="128"/>
    </font>
    <font>
      <sz val="11"/>
      <color theme="0"/>
      <name val="HGP創英角ｺﾞｼｯｸUB"/>
      <family val="2"/>
      <charset val="128"/>
    </font>
    <font>
      <sz val="36"/>
      <color theme="0"/>
      <name val="ＭＳ ゴシック"/>
      <family val="2"/>
      <charset val="128"/>
    </font>
    <font>
      <sz val="13"/>
      <color rgb="FF000000"/>
      <name val=".AppleSystemUIFont"/>
      <family val="2"/>
    </font>
    <font>
      <sz val="13"/>
      <color theme="1"/>
      <name val=".AppleSystemUIFont"/>
      <charset val="136"/>
    </font>
    <font>
      <sz val="13"/>
      <color theme="1"/>
      <name val=".Hiragino Kaku Gothic Interface"/>
    </font>
    <font>
      <sz val="18"/>
      <color theme="1"/>
      <name val="HG丸ｺﾞｼｯｸM-PRO"/>
      <family val="2"/>
      <charset val="128"/>
    </font>
    <font>
      <sz val="28"/>
      <color theme="0"/>
      <name val="HGS創英角ｺﾞｼｯｸUB"/>
      <family val="2"/>
      <charset val="128"/>
    </font>
    <font>
      <sz val="26"/>
      <color theme="0"/>
      <name val="HGS創英角ｺﾞｼｯｸUB"/>
      <family val="2"/>
      <charset val="128"/>
    </font>
    <font>
      <sz val="28"/>
      <color theme="1"/>
      <name val="HG正楷書体-PRO"/>
      <charset val="128"/>
    </font>
    <font>
      <sz val="13"/>
      <color indexed="8"/>
      <name val=".AppleSystemUIFont"/>
      <charset val="136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0" xfId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1" xfId="0" applyFont="1" applyBorder="1" applyAlignment="1"/>
    <xf numFmtId="0" fontId="8" fillId="0" borderId="2" xfId="0" applyFont="1" applyBorder="1" applyAlignment="1">
      <alignment horizontal="center" vertical="center"/>
    </xf>
    <xf numFmtId="0" fontId="7" fillId="0" borderId="0" xfId="0" applyFont="1" applyAlignment="1"/>
    <xf numFmtId="0" fontId="6" fillId="0" borderId="0" xfId="0" applyFont="1" applyAlignment="1">
      <alignment vertical="top"/>
    </xf>
    <xf numFmtId="0" fontId="9" fillId="0" borderId="0" xfId="0" applyFont="1" applyAlignment="1">
      <alignment horizontal="right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0" fillId="3" borderId="0" xfId="0" applyFont="1" applyFill="1">
      <alignment vertical="center"/>
    </xf>
    <xf numFmtId="176" fontId="10" fillId="3" borderId="0" xfId="0" applyNumberFormat="1" applyFont="1" applyFill="1">
      <alignment vertical="center"/>
    </xf>
    <xf numFmtId="0" fontId="10" fillId="3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3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3" xfId="0" applyFont="1" applyBorder="1">
      <alignment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0" fillId="0" borderId="1" xfId="0" applyFont="1" applyBorder="1" applyAlignment="1"/>
    <xf numFmtId="0" fontId="10" fillId="0" borderId="3" xfId="0" applyFont="1" applyBorder="1" applyAlignment="1"/>
    <xf numFmtId="0" fontId="4" fillId="4" borderId="4" xfId="0" applyFont="1" applyFill="1" applyBorder="1">
      <alignment vertical="center"/>
    </xf>
    <xf numFmtId="0" fontId="4" fillId="4" borderId="5" xfId="0" applyFont="1" applyFill="1" applyBorder="1">
      <alignment vertical="center"/>
    </xf>
    <xf numFmtId="0" fontId="4" fillId="4" borderId="6" xfId="0" applyFont="1" applyFill="1" applyBorder="1">
      <alignment vertical="center"/>
    </xf>
    <xf numFmtId="0" fontId="4" fillId="4" borderId="0" xfId="0" applyFont="1" applyFill="1">
      <alignment vertical="center"/>
    </xf>
    <xf numFmtId="0" fontId="4" fillId="4" borderId="7" xfId="0" applyFont="1" applyFill="1" applyBorder="1">
      <alignment vertical="center"/>
    </xf>
    <xf numFmtId="0" fontId="15" fillId="4" borderId="0" xfId="0" applyFont="1" applyFill="1" applyAlignment="1">
      <alignment horizontal="center" vertical="center"/>
    </xf>
    <xf numFmtId="0" fontId="3" fillId="4" borderId="7" xfId="1" applyFill="1" applyBorder="1" applyAlignment="1">
      <alignment vertical="center" wrapText="1"/>
    </xf>
    <xf numFmtId="0" fontId="5" fillId="4" borderId="7" xfId="0" applyFont="1" applyFill="1" applyBorder="1" applyAlignment="1">
      <alignment vertical="center" wrapText="1"/>
    </xf>
    <xf numFmtId="0" fontId="4" fillId="4" borderId="8" xfId="0" applyFont="1" applyFill="1" applyBorder="1">
      <alignment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9" fillId="0" borderId="13" xfId="0" applyFont="1" applyBorder="1" applyAlignment="1">
      <alignment vertical="top"/>
    </xf>
    <xf numFmtId="0" fontId="9" fillId="0" borderId="14" xfId="0" applyFont="1" applyBorder="1" applyAlignment="1">
      <alignment horizontal="right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4" fillId="0" borderId="3" xfId="0" applyFont="1" applyBorder="1">
      <alignment vertical="center"/>
    </xf>
    <xf numFmtId="0" fontId="22" fillId="4" borderId="15" xfId="0" applyFont="1" applyFill="1" applyBorder="1" applyAlignment="1">
      <alignment horizontal="center"/>
    </xf>
    <xf numFmtId="0" fontId="23" fillId="5" borderId="13" xfId="0" applyFont="1" applyFill="1" applyBorder="1" applyAlignment="1">
      <alignment horizontal="center" vertical="center"/>
    </xf>
    <xf numFmtId="0" fontId="23" fillId="5" borderId="16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291351</xdr:colOff>
      <xdr:row>9</xdr:row>
      <xdr:rowOff>397810</xdr:rowOff>
    </xdr:from>
    <xdr:to>
      <xdr:col>16</xdr:col>
      <xdr:colOff>1030941</xdr:colOff>
      <xdr:row>11</xdr:row>
      <xdr:rowOff>172151</xdr:rowOff>
    </xdr:to>
    <xdr:sp macro="[0]!outpu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A45C4AF-BA33-8C57-DE64-2E544703F337}"/>
            </a:ext>
          </a:extLst>
        </xdr:cNvPr>
        <xdr:cNvSpPr/>
      </xdr:nvSpPr>
      <xdr:spPr>
        <a:xfrm>
          <a:off x="8213910" y="4857751"/>
          <a:ext cx="2610972" cy="795618"/>
        </a:xfrm>
        <a:prstGeom prst="bevel">
          <a:avLst/>
        </a:prstGeom>
        <a:solidFill>
          <a:srgbClr val="00CC66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>
              <a:solidFill>
                <a:schemeClr val="bg1"/>
              </a:solidFill>
              <a:latin typeface="HGS行書体" panose="03000600000000000000" pitchFamily="66" charset="-128"/>
              <a:ea typeface="HGS行書体" panose="03000600000000000000" pitchFamily="66" charset="-128"/>
            </a:rPr>
            <a:t>印　刷</a:t>
          </a:r>
        </a:p>
      </xdr:txBody>
    </xdr:sp>
    <xdr:clientData/>
  </xdr:twoCellAnchor>
  <xdr:twoCellAnchor>
    <xdr:from>
      <xdr:col>0</xdr:col>
      <xdr:colOff>134470</xdr:colOff>
      <xdr:row>2</xdr:row>
      <xdr:rowOff>627529</xdr:rowOff>
    </xdr:from>
    <xdr:to>
      <xdr:col>7</xdr:col>
      <xdr:colOff>369794</xdr:colOff>
      <xdr:row>4</xdr:row>
      <xdr:rowOff>605119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FA7A63D7-E97B-A4BD-5E33-E5896BC8EC17}"/>
            </a:ext>
          </a:extLst>
        </xdr:cNvPr>
        <xdr:cNvSpPr txBox="1"/>
      </xdr:nvSpPr>
      <xdr:spPr>
        <a:xfrm>
          <a:off x="134470" y="627529"/>
          <a:ext cx="4157383" cy="8740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300"/>
            </a:lnSpc>
          </a:pPr>
          <a:r>
            <a:rPr kumimoji="1" lang="en-US" altLang="ja-JP" sz="1100">
              <a:solidFill>
                <a:schemeClr val="accent6">
                  <a:lumMod val="50000"/>
                </a:schemeClr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※</a:t>
          </a:r>
          <a:r>
            <a:rPr kumimoji="1" lang="ja-JP" altLang="en-US" sz="1100">
              <a:solidFill>
                <a:schemeClr val="accent6">
                  <a:lumMod val="50000"/>
                </a:schemeClr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このスペースに問題文を書いてください</a:t>
          </a:r>
          <a:endParaRPr kumimoji="1" lang="en-US" altLang="ja-JP" sz="1100">
            <a:solidFill>
              <a:schemeClr val="accent6">
                <a:lumMod val="50000"/>
              </a:schemeClr>
            </a:solidFill>
            <a:latin typeface="UD デジタル 教科書体 NP-B" panose="02020700000000000000" pitchFamily="18" charset="-128"/>
            <a:ea typeface="UD デジタル 教科書体 NP-B" panose="02020700000000000000" pitchFamily="18" charset="-128"/>
          </a:endParaRPr>
        </a:p>
        <a:p>
          <a:pPr>
            <a:lnSpc>
              <a:spcPts val="1500"/>
            </a:lnSpc>
          </a:pPr>
          <a:endParaRPr kumimoji="1" lang="en-US" altLang="ja-JP" sz="1100">
            <a:latin typeface="UD デジタル 教科書体 NP-B" panose="02020700000000000000" pitchFamily="18" charset="-128"/>
            <a:ea typeface="UD デジタル 教科書体 NP-B" panose="02020700000000000000" pitchFamily="18" charset="-128"/>
          </a:endParaRPr>
        </a:p>
        <a:p>
          <a:pPr>
            <a:lnSpc>
              <a:spcPts val="2200"/>
            </a:lnSpc>
          </a:pPr>
          <a:r>
            <a:rPr kumimoji="1" lang="ja-JP" altLang="en-US" sz="1600"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（例）次の英単語を和訳しなさい</a:t>
          </a:r>
          <a:endParaRPr kumimoji="1" lang="en-US" altLang="ja-JP" sz="1600">
            <a:latin typeface="UD デジタル 教科書体 NP-B" panose="02020700000000000000" pitchFamily="18" charset="-128"/>
            <a:ea typeface="UD デジタル 教科書体 NP-B" panose="02020700000000000000" pitchFamily="18" charset="-128"/>
          </a:endParaRPr>
        </a:p>
        <a:p>
          <a:pPr>
            <a:lnSpc>
              <a:spcPts val="1500"/>
            </a:lnSpc>
          </a:pPr>
          <a:endParaRPr kumimoji="1" lang="ja-JP" altLang="en-US" sz="1100">
            <a:latin typeface="UD デジタル 教科書体 NP-B" panose="02020700000000000000" pitchFamily="18" charset="-128"/>
            <a:ea typeface="UD デジタル 教科書体 NP-B" panose="02020700000000000000" pitchFamily="18" charset="-128"/>
          </a:endParaRPr>
        </a:p>
      </xdr:txBody>
    </xdr:sp>
    <xdr:clientData/>
  </xdr:twoCellAnchor>
  <xdr:twoCellAnchor>
    <xdr:from>
      <xdr:col>14</xdr:col>
      <xdr:colOff>291351</xdr:colOff>
      <xdr:row>7</xdr:row>
      <xdr:rowOff>166595</xdr:rowOff>
    </xdr:from>
    <xdr:to>
      <xdr:col>16</xdr:col>
      <xdr:colOff>1030941</xdr:colOff>
      <xdr:row>8</xdr:row>
      <xdr:rowOff>470841</xdr:rowOff>
    </xdr:to>
    <xdr:sp macro="[0]!update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3C5BC525-7209-065A-619A-9D662CB5648E}"/>
            </a:ext>
          </a:extLst>
        </xdr:cNvPr>
        <xdr:cNvSpPr/>
      </xdr:nvSpPr>
      <xdr:spPr>
        <a:xfrm>
          <a:off x="8213910" y="3630707"/>
          <a:ext cx="2610972" cy="795617"/>
        </a:xfrm>
        <a:prstGeom prst="bevel">
          <a:avLst/>
        </a:prstGeom>
        <a:solidFill>
          <a:srgbClr val="000099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>
              <a:solidFill>
                <a:schemeClr val="bg1"/>
              </a:solidFill>
              <a:latin typeface="HGS行書体" panose="03000600000000000000" pitchFamily="66" charset="-128"/>
              <a:ea typeface="HGS行書体" panose="03000600000000000000" pitchFamily="66" charset="-128"/>
            </a:rPr>
            <a:t>更　新</a:t>
          </a:r>
        </a:p>
      </xdr:txBody>
    </xdr:sp>
    <xdr:clientData/>
  </xdr:twoCellAnchor>
  <xdr:twoCellAnchor>
    <xdr:from>
      <xdr:col>14</xdr:col>
      <xdr:colOff>291351</xdr:colOff>
      <xdr:row>12</xdr:row>
      <xdr:rowOff>112060</xdr:rowOff>
    </xdr:from>
    <xdr:to>
      <xdr:col>16</xdr:col>
      <xdr:colOff>1030941</xdr:colOff>
      <xdr:row>13</xdr:row>
      <xdr:rowOff>403412</xdr:rowOff>
    </xdr:to>
    <xdr:sp macro="[0]!closebook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22A4ECB8-3267-278B-C462-B0D2209BBE90}"/>
            </a:ext>
          </a:extLst>
        </xdr:cNvPr>
        <xdr:cNvSpPr/>
      </xdr:nvSpPr>
      <xdr:spPr>
        <a:xfrm>
          <a:off x="8213910" y="6084795"/>
          <a:ext cx="2610972" cy="795617"/>
        </a:xfrm>
        <a:prstGeom prst="bevel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3200">
              <a:solidFill>
                <a:schemeClr val="bg1"/>
              </a:solidFill>
              <a:latin typeface="HGS行書体" panose="03000600000000000000" pitchFamily="66" charset="-128"/>
              <a:ea typeface="HGS行書体" panose="03000600000000000000" pitchFamily="66" charset="-128"/>
            </a:rPr>
            <a:t>終　了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249977111117893"/>
    <pageSetUpPr fitToPage="1"/>
  </sheetPr>
  <dimension ref="A1:F1916"/>
  <sheetViews>
    <sheetView showGridLines="0" showRowColHeaders="0" topLeftCell="D1" zoomScaleNormal="100" workbookViewId="0">
      <pane ySplit="1" topLeftCell="A2" activePane="bottomLeft" state="frozenSplit"/>
      <selection activeCell="D1" sqref="D1"/>
      <selection pane="bottomLeft" activeCell="E4" sqref="E4"/>
    </sheetView>
  </sheetViews>
  <sheetFormatPr baseColWidth="10" defaultColWidth="9" defaultRowHeight="14"/>
  <cols>
    <col min="1" max="1" width="9" style="12" hidden="1" customWidth="1"/>
    <col min="2" max="2" width="14.6640625" style="12" hidden="1" customWidth="1"/>
    <col min="3" max="3" width="12.5" style="13" hidden="1" customWidth="1"/>
    <col min="4" max="4" width="7.33203125" style="13" bestFit="1" customWidth="1"/>
    <col min="5" max="5" width="18.6640625" style="13" bestFit="1" customWidth="1"/>
    <col min="6" max="6" width="115" style="12" bestFit="1" customWidth="1"/>
    <col min="7" max="16384" width="9" style="12"/>
  </cols>
  <sheetData>
    <row r="1" spans="1:6" s="19" customFormat="1" ht="35.25" customHeight="1" thickBot="1">
      <c r="A1" s="18" t="s">
        <v>6</v>
      </c>
      <c r="B1" s="14" t="s">
        <v>5</v>
      </c>
      <c r="C1" s="14" t="s">
        <v>4</v>
      </c>
      <c r="D1" s="39" t="s">
        <v>72</v>
      </c>
      <c r="E1" s="40" t="s">
        <v>73</v>
      </c>
      <c r="F1" s="40" t="s">
        <v>74</v>
      </c>
    </row>
    <row r="2" spans="1:6" ht="18" thickTop="1">
      <c r="A2" s="15">
        <f ca="1">RANK(B2,$B$2:$B$1901,0)</f>
        <v>1395</v>
      </c>
      <c r="B2" s="16">
        <f ca="1">IF(C2=1,RAND(),0)</f>
        <v>0.26818481398631966</v>
      </c>
      <c r="C2" s="17">
        <f>IF(AND(問題解答データベース!D2&gt;=小テスト!$C$6,D2&lt;=小テスト!$E$6),1,0)</f>
        <v>1</v>
      </c>
      <c r="D2" s="44">
        <v>1</v>
      </c>
      <c r="E2" s="45" t="s">
        <v>28</v>
      </c>
      <c r="F2" s="46" t="s">
        <v>75</v>
      </c>
    </row>
    <row r="3" spans="1:6" ht="17">
      <c r="A3" s="15">
        <f t="shared" ref="A3:A66" ca="1" si="0">RANK(B3,$B$2:$B$1901,0)</f>
        <v>56</v>
      </c>
      <c r="B3" s="16">
        <f t="shared" ref="B3:B66" ca="1" si="1">IF(C3=1,RAND(),0)</f>
        <v>0.97073173894911879</v>
      </c>
      <c r="C3" s="17">
        <f>IF(AND(問題解答データベース!D3&gt;=小テスト!$C$6,D3&lt;=小テスト!$E$6),1,0)</f>
        <v>1</v>
      </c>
      <c r="D3" s="44">
        <v>2</v>
      </c>
      <c r="E3" s="45" t="s">
        <v>76</v>
      </c>
      <c r="F3" s="46" t="s">
        <v>2065</v>
      </c>
    </row>
    <row r="4" spans="1:6" ht="17">
      <c r="A4" s="15">
        <f ca="1">RANK(B4,$B$2:$B$1901,0)</f>
        <v>1537</v>
      </c>
      <c r="B4" s="16">
        <f t="shared" ca="1" si="1"/>
        <v>0.18574006972468815</v>
      </c>
      <c r="C4" s="17">
        <f>IF(AND(問題解答データベース!D4&gt;=小テスト!$C$6,D4&lt;=小テスト!$E$6),1,0)</f>
        <v>1</v>
      </c>
      <c r="D4" s="44">
        <v>3</v>
      </c>
      <c r="E4" s="45" t="s">
        <v>26</v>
      </c>
      <c r="F4" s="46" t="s">
        <v>77</v>
      </c>
    </row>
    <row r="5" spans="1:6" ht="17">
      <c r="A5" s="15">
        <f t="shared" ca="1" si="0"/>
        <v>54</v>
      </c>
      <c r="B5" s="16">
        <f t="shared" ca="1" si="1"/>
        <v>0.97113790836405245</v>
      </c>
      <c r="C5" s="17">
        <f>IF(AND(問題解答データベース!D5&gt;=小テスト!$C$6,D5&lt;=小テスト!$E$6),1,0)</f>
        <v>1</v>
      </c>
      <c r="D5" s="44">
        <v>4</v>
      </c>
      <c r="E5" s="45" t="s">
        <v>78</v>
      </c>
      <c r="F5" s="46" t="s">
        <v>2066</v>
      </c>
    </row>
    <row r="6" spans="1:6" ht="17">
      <c r="A6" s="15">
        <f t="shared" ca="1" si="0"/>
        <v>1196</v>
      </c>
      <c r="B6" s="16">
        <f t="shared" ca="1" si="1"/>
        <v>0.36971970418481415</v>
      </c>
      <c r="C6" s="17">
        <f>IF(AND(問題解答データベース!D6&gt;=小テスト!$C$6,D6&lt;=小テスト!$E$6),1,0)</f>
        <v>1</v>
      </c>
      <c r="D6" s="44">
        <v>5</v>
      </c>
      <c r="E6" s="45" t="s">
        <v>59</v>
      </c>
      <c r="F6" s="46" t="s">
        <v>79</v>
      </c>
    </row>
    <row r="7" spans="1:6" ht="17">
      <c r="A7" s="15">
        <f t="shared" ca="1" si="0"/>
        <v>1057</v>
      </c>
      <c r="B7" s="16">
        <f t="shared" ca="1" si="1"/>
        <v>0.45124346034272655</v>
      </c>
      <c r="C7" s="17">
        <f>IF(AND(問題解答データベース!D7&gt;=小テスト!$C$6,D7&lt;=小テスト!$E$6),1,0)</f>
        <v>1</v>
      </c>
      <c r="D7" s="44">
        <v>6</v>
      </c>
      <c r="E7" s="45" t="s">
        <v>57</v>
      </c>
      <c r="F7" s="46" t="s">
        <v>2067</v>
      </c>
    </row>
    <row r="8" spans="1:6" ht="17">
      <c r="A8" s="15">
        <f t="shared" ca="1" si="0"/>
        <v>1823</v>
      </c>
      <c r="B8" s="16">
        <f t="shared" ca="1" si="1"/>
        <v>3.7973813750363239E-2</v>
      </c>
      <c r="C8" s="17">
        <f>IF(AND(問題解答データベース!D8&gt;=小テスト!$C$6,D8&lt;=小テスト!$E$6),1,0)</f>
        <v>1</v>
      </c>
      <c r="D8" s="44">
        <v>7</v>
      </c>
      <c r="E8" s="45" t="s">
        <v>66</v>
      </c>
      <c r="F8" s="46" t="s">
        <v>80</v>
      </c>
    </row>
    <row r="9" spans="1:6" ht="17">
      <c r="A9" s="15">
        <f t="shared" ca="1" si="0"/>
        <v>848</v>
      </c>
      <c r="B9" s="16">
        <f t="shared" ca="1" si="1"/>
        <v>0.54966262604943972</v>
      </c>
      <c r="C9" s="17">
        <f>IF(AND(問題解答データベース!D9&gt;=小テスト!$C$6,D9&lt;=小テスト!$E$6),1,0)</f>
        <v>1</v>
      </c>
      <c r="D9" s="44">
        <v>8</v>
      </c>
      <c r="E9" s="45" t="s">
        <v>70</v>
      </c>
      <c r="F9" s="46" t="s">
        <v>2068</v>
      </c>
    </row>
    <row r="10" spans="1:6" ht="17">
      <c r="A10" s="15">
        <f t="shared" ca="1" si="0"/>
        <v>90</v>
      </c>
      <c r="B10" s="16">
        <f t="shared" ca="1" si="1"/>
        <v>0.95748720888174754</v>
      </c>
      <c r="C10" s="17">
        <f>IF(AND(問題解答データベース!D10&gt;=小テスト!$C$6,D10&lt;=小テスト!$E$6),1,0)</f>
        <v>1</v>
      </c>
      <c r="D10" s="44">
        <v>9</v>
      </c>
      <c r="E10" s="45" t="s">
        <v>16</v>
      </c>
      <c r="F10" s="46" t="s">
        <v>81</v>
      </c>
    </row>
    <row r="11" spans="1:6" ht="17">
      <c r="A11" s="15">
        <f t="shared" ca="1" si="0"/>
        <v>239</v>
      </c>
      <c r="B11" s="16">
        <f t="shared" ca="1" si="1"/>
        <v>0.87568859081650929</v>
      </c>
      <c r="C11" s="17">
        <f>IF(AND(問題解答データベース!D11&gt;=小テスト!$C$6,D11&lt;=小テスト!$E$6),1,0)</f>
        <v>1</v>
      </c>
      <c r="D11" s="44">
        <v>10</v>
      </c>
      <c r="E11" s="45" t="s">
        <v>27</v>
      </c>
      <c r="F11" s="46" t="s">
        <v>82</v>
      </c>
    </row>
    <row r="12" spans="1:6" ht="17">
      <c r="A12" s="15">
        <f t="shared" ca="1" si="0"/>
        <v>1547</v>
      </c>
      <c r="B12" s="16">
        <f t="shared" ca="1" si="1"/>
        <v>0.1807667423158098</v>
      </c>
      <c r="C12" s="17">
        <f>IF(AND(問題解答データベース!D12&gt;=小テスト!$C$6,D12&lt;=小テスト!$E$6),1,0)</f>
        <v>1</v>
      </c>
      <c r="D12" s="44">
        <v>11</v>
      </c>
      <c r="E12" s="45" t="s">
        <v>63</v>
      </c>
      <c r="F12" s="46" t="s">
        <v>83</v>
      </c>
    </row>
    <row r="13" spans="1:6" ht="17">
      <c r="A13" s="15">
        <f t="shared" ca="1" si="0"/>
        <v>338</v>
      </c>
      <c r="B13" s="16">
        <f t="shared" ca="1" si="1"/>
        <v>0.81820716428775297</v>
      </c>
      <c r="C13" s="17">
        <f>IF(AND(問題解答データベース!D13&gt;=小テスト!$C$6,D13&lt;=小テスト!$E$6),1,0)</f>
        <v>1</v>
      </c>
      <c r="D13" s="44">
        <v>12</v>
      </c>
      <c r="E13" s="45" t="s">
        <v>15</v>
      </c>
      <c r="F13" s="46" t="s">
        <v>84</v>
      </c>
    </row>
    <row r="14" spans="1:6" ht="17">
      <c r="A14" s="15">
        <f t="shared" ca="1" si="0"/>
        <v>451</v>
      </c>
      <c r="B14" s="16">
        <f t="shared" ca="1" si="1"/>
        <v>0.76474926742461968</v>
      </c>
      <c r="C14" s="17">
        <f>IF(AND(問題解答データベース!D14&gt;=小テスト!$C$6,D14&lt;=小テスト!$E$6),1,0)</f>
        <v>1</v>
      </c>
      <c r="D14" s="44">
        <v>13</v>
      </c>
      <c r="E14" s="45" t="s">
        <v>85</v>
      </c>
      <c r="F14" s="46" t="s">
        <v>86</v>
      </c>
    </row>
    <row r="15" spans="1:6" ht="17">
      <c r="A15" s="15">
        <f t="shared" ca="1" si="0"/>
        <v>1088</v>
      </c>
      <c r="B15" s="16">
        <f t="shared" ca="1" si="1"/>
        <v>0.43152249071915327</v>
      </c>
      <c r="C15" s="17">
        <f>IF(AND(問題解答データベース!D15&gt;=小テスト!$C$6,D15&lt;=小テスト!$E$6),1,0)</f>
        <v>1</v>
      </c>
      <c r="D15" s="44">
        <v>14</v>
      </c>
      <c r="E15" s="45" t="s">
        <v>60</v>
      </c>
      <c r="F15" s="46" t="s">
        <v>87</v>
      </c>
    </row>
    <row r="16" spans="1:6" ht="17">
      <c r="A16" s="15">
        <f t="shared" ca="1" si="0"/>
        <v>1641</v>
      </c>
      <c r="B16" s="16">
        <f t="shared" ca="1" si="1"/>
        <v>0.13231675889116623</v>
      </c>
      <c r="C16" s="17">
        <f>IF(AND(問題解答データベース!D16&gt;=小テスト!$C$6,D16&lt;=小テスト!$E$6),1,0)</f>
        <v>1</v>
      </c>
      <c r="D16" s="44">
        <v>15</v>
      </c>
      <c r="E16" s="45" t="s">
        <v>88</v>
      </c>
      <c r="F16" s="46" t="s">
        <v>89</v>
      </c>
    </row>
    <row r="17" spans="1:6" ht="17">
      <c r="A17" s="15">
        <f t="shared" ca="1" si="0"/>
        <v>1437</v>
      </c>
      <c r="B17" s="16">
        <f t="shared" ca="1" si="1"/>
        <v>0.24392793241811395</v>
      </c>
      <c r="C17" s="17">
        <f>IF(AND(問題解答データベース!D17&gt;=小テスト!$C$6,D17&lt;=小テスト!$E$6),1,0)</f>
        <v>1</v>
      </c>
      <c r="D17" s="44">
        <v>16</v>
      </c>
      <c r="E17" s="45" t="s">
        <v>90</v>
      </c>
      <c r="F17" s="46" t="s">
        <v>91</v>
      </c>
    </row>
    <row r="18" spans="1:6" ht="17">
      <c r="A18" s="15">
        <f t="shared" ca="1" si="0"/>
        <v>708</v>
      </c>
      <c r="B18" s="16">
        <f t="shared" ca="1" si="1"/>
        <v>0.62303156982107799</v>
      </c>
      <c r="C18" s="17">
        <f>IF(AND(問題解答データベース!D18&gt;=小テスト!$C$6,D18&lt;=小テスト!$E$6),1,0)</f>
        <v>1</v>
      </c>
      <c r="D18" s="44">
        <v>17</v>
      </c>
      <c r="E18" s="45" t="s">
        <v>92</v>
      </c>
      <c r="F18" s="46" t="s">
        <v>2069</v>
      </c>
    </row>
    <row r="19" spans="1:6" ht="17">
      <c r="A19" s="15">
        <f t="shared" ca="1" si="0"/>
        <v>1384</v>
      </c>
      <c r="B19" s="16">
        <f t="shared" ca="1" si="1"/>
        <v>0.27269835254776065</v>
      </c>
      <c r="C19" s="17">
        <f>IF(AND(問題解答データベース!D19&gt;=小テスト!$C$6,D19&lt;=小テスト!$E$6),1,0)</f>
        <v>1</v>
      </c>
      <c r="D19" s="44">
        <v>18</v>
      </c>
      <c r="E19" s="45" t="s">
        <v>17</v>
      </c>
      <c r="F19" s="46" t="s">
        <v>93</v>
      </c>
    </row>
    <row r="20" spans="1:6" ht="17">
      <c r="A20" s="15">
        <f t="shared" ca="1" si="0"/>
        <v>447</v>
      </c>
      <c r="B20" s="16">
        <f t="shared" ca="1" si="1"/>
        <v>0.7658051289738167</v>
      </c>
      <c r="C20" s="17">
        <f>IF(AND(問題解答データベース!D20&gt;=小テスト!$C$6,D20&lt;=小テスト!$E$6),1,0)</f>
        <v>1</v>
      </c>
      <c r="D20" s="44">
        <v>19</v>
      </c>
      <c r="E20" s="45" t="s">
        <v>94</v>
      </c>
      <c r="F20" s="46" t="s">
        <v>95</v>
      </c>
    </row>
    <row r="21" spans="1:6" ht="17">
      <c r="A21" s="15">
        <f t="shared" ca="1" si="0"/>
        <v>1601</v>
      </c>
      <c r="B21" s="16">
        <f t="shared" ca="1" si="1"/>
        <v>0.15598088767583862</v>
      </c>
      <c r="C21" s="17">
        <f>IF(AND(問題解答データベース!D21&gt;=小テスト!$C$6,D21&lt;=小テスト!$E$6),1,0)</f>
        <v>1</v>
      </c>
      <c r="D21" s="44">
        <v>20</v>
      </c>
      <c r="E21" s="45" t="s">
        <v>96</v>
      </c>
      <c r="F21" s="46" t="s">
        <v>2070</v>
      </c>
    </row>
    <row r="22" spans="1:6" ht="17">
      <c r="A22" s="15">
        <f t="shared" ca="1" si="0"/>
        <v>1454</v>
      </c>
      <c r="B22" s="16">
        <f t="shared" ca="1" si="1"/>
        <v>0.23342658281254092</v>
      </c>
      <c r="C22" s="17">
        <f>IF(AND(問題解答データベース!D22&gt;=小テスト!$C$6,D22&lt;=小テスト!$E$6),1,0)</f>
        <v>1</v>
      </c>
      <c r="D22" s="44">
        <v>21</v>
      </c>
      <c r="E22" s="45" t="s">
        <v>97</v>
      </c>
      <c r="F22" s="46" t="s">
        <v>98</v>
      </c>
    </row>
    <row r="23" spans="1:6" ht="17">
      <c r="A23" s="15">
        <f t="shared" ca="1" si="0"/>
        <v>1594</v>
      </c>
      <c r="B23" s="16">
        <f t="shared" ca="1" si="1"/>
        <v>0.1594847160020143</v>
      </c>
      <c r="C23" s="17">
        <f>IF(AND(問題解答データベース!D23&gt;=小テスト!$C$6,D23&lt;=小テスト!$E$6),1,0)</f>
        <v>1</v>
      </c>
      <c r="D23" s="44">
        <v>22</v>
      </c>
      <c r="E23" s="45" t="s">
        <v>99</v>
      </c>
      <c r="F23" s="46" t="s">
        <v>100</v>
      </c>
    </row>
    <row r="24" spans="1:6" ht="17">
      <c r="A24" s="15">
        <f t="shared" ca="1" si="0"/>
        <v>91</v>
      </c>
      <c r="B24" s="16">
        <f t="shared" ca="1" si="1"/>
        <v>0.95593149517266029</v>
      </c>
      <c r="C24" s="17">
        <f>IF(AND(問題解答データベース!D24&gt;=小テスト!$C$6,D24&lt;=小テスト!$E$6),1,0)</f>
        <v>1</v>
      </c>
      <c r="D24" s="44">
        <v>23</v>
      </c>
      <c r="E24" s="45" t="s">
        <v>101</v>
      </c>
      <c r="F24" s="46" t="s">
        <v>102</v>
      </c>
    </row>
    <row r="25" spans="1:6" ht="17">
      <c r="A25" s="15">
        <f t="shared" ca="1" si="0"/>
        <v>1072</v>
      </c>
      <c r="B25" s="16">
        <f t="shared" ca="1" si="1"/>
        <v>0.44114288744950048</v>
      </c>
      <c r="C25" s="17">
        <f>IF(AND(問題解答データベース!D25&gt;=小テスト!$C$6,D25&lt;=小テスト!$E$6),1,0)</f>
        <v>1</v>
      </c>
      <c r="D25" s="44">
        <v>24</v>
      </c>
      <c r="E25" s="45" t="s">
        <v>55</v>
      </c>
      <c r="F25" s="46" t="s">
        <v>2071</v>
      </c>
    </row>
    <row r="26" spans="1:6" ht="17">
      <c r="A26" s="15">
        <f t="shared" ca="1" si="0"/>
        <v>1668</v>
      </c>
      <c r="B26" s="16">
        <f t="shared" ca="1" si="1"/>
        <v>0.11714492561292034</v>
      </c>
      <c r="C26" s="17">
        <f>IF(AND(問題解答データベース!D26&gt;=小テスト!$C$6,D26&lt;=小テスト!$E$6),1,0)</f>
        <v>1</v>
      </c>
      <c r="D26" s="44">
        <v>25</v>
      </c>
      <c r="E26" s="45" t="s">
        <v>103</v>
      </c>
      <c r="F26" s="46" t="s">
        <v>2072</v>
      </c>
    </row>
    <row r="27" spans="1:6" ht="17">
      <c r="A27" s="15">
        <f t="shared" ca="1" si="0"/>
        <v>692</v>
      </c>
      <c r="B27" s="16">
        <f t="shared" ca="1" si="1"/>
        <v>0.63064325399783316</v>
      </c>
      <c r="C27" s="17">
        <f>IF(AND(問題解答データベース!D27&gt;=小テスト!$C$6,D27&lt;=小テスト!$E$6),1,0)</f>
        <v>1</v>
      </c>
      <c r="D27" s="44">
        <v>26</v>
      </c>
      <c r="E27" s="45" t="s">
        <v>104</v>
      </c>
      <c r="F27" s="46" t="s">
        <v>2073</v>
      </c>
    </row>
    <row r="28" spans="1:6" ht="17">
      <c r="A28" s="15">
        <f t="shared" ca="1" si="0"/>
        <v>1839</v>
      </c>
      <c r="B28" s="16">
        <f t="shared" ca="1" si="1"/>
        <v>3.0453459667761806E-2</v>
      </c>
      <c r="C28" s="17">
        <f>IF(AND(問題解答データベース!D28&gt;=小テスト!$C$6,D28&lt;=小テスト!$E$6),1,0)</f>
        <v>1</v>
      </c>
      <c r="D28" s="44">
        <v>27</v>
      </c>
      <c r="E28" s="45" t="s">
        <v>49</v>
      </c>
      <c r="F28" s="46" t="s">
        <v>105</v>
      </c>
    </row>
    <row r="29" spans="1:6" ht="17">
      <c r="A29" s="15">
        <f t="shared" ca="1" si="0"/>
        <v>1797</v>
      </c>
      <c r="B29" s="16">
        <f t="shared" ca="1" si="1"/>
        <v>5.0191593880880681E-2</v>
      </c>
      <c r="C29" s="17">
        <f>IF(AND(問題解答データベース!D29&gt;=小テスト!$C$6,D29&lt;=小テスト!$E$6),1,0)</f>
        <v>1</v>
      </c>
      <c r="D29" s="44">
        <v>28</v>
      </c>
      <c r="E29" s="45" t="s">
        <v>106</v>
      </c>
      <c r="F29" s="46" t="s">
        <v>2074</v>
      </c>
    </row>
    <row r="30" spans="1:6" ht="17">
      <c r="A30" s="15">
        <f t="shared" ca="1" si="0"/>
        <v>1169</v>
      </c>
      <c r="B30" s="16">
        <f t="shared" ca="1" si="1"/>
        <v>0.38498794761235589</v>
      </c>
      <c r="C30" s="17">
        <f>IF(AND(問題解答データベース!D30&gt;=小テスト!$C$6,D30&lt;=小テスト!$E$6),1,0)</f>
        <v>1</v>
      </c>
      <c r="D30" s="44">
        <v>29</v>
      </c>
      <c r="E30" s="45" t="s">
        <v>65</v>
      </c>
      <c r="F30" s="46" t="s">
        <v>107</v>
      </c>
    </row>
    <row r="31" spans="1:6" ht="17">
      <c r="A31" s="15">
        <f t="shared" ca="1" si="0"/>
        <v>1836</v>
      </c>
      <c r="B31" s="16">
        <f t="shared" ca="1" si="1"/>
        <v>3.1510651855801042E-2</v>
      </c>
      <c r="C31" s="17">
        <f>IF(AND(問題解答データベース!D31&gt;=小テスト!$C$6,D31&lt;=小テスト!$E$6),1,0)</f>
        <v>1</v>
      </c>
      <c r="D31" s="44">
        <v>30</v>
      </c>
      <c r="E31" s="45" t="s">
        <v>52</v>
      </c>
      <c r="F31" s="46" t="s">
        <v>2075</v>
      </c>
    </row>
    <row r="32" spans="1:6" ht="17">
      <c r="A32" s="15">
        <f t="shared" ca="1" si="0"/>
        <v>862</v>
      </c>
      <c r="B32" s="16">
        <f t="shared" ca="1" si="1"/>
        <v>0.54071883320110248</v>
      </c>
      <c r="C32" s="17">
        <f>IF(AND(問題解答データベース!D32&gt;=小テスト!$C$6,D32&lt;=小テスト!$E$6),1,0)</f>
        <v>1</v>
      </c>
      <c r="D32" s="44">
        <v>31</v>
      </c>
      <c r="E32" s="45" t="s">
        <v>68</v>
      </c>
      <c r="F32" s="46" t="s">
        <v>2076</v>
      </c>
    </row>
    <row r="33" spans="1:6" ht="17">
      <c r="A33" s="15">
        <f t="shared" ca="1" si="0"/>
        <v>317</v>
      </c>
      <c r="B33" s="16">
        <f t="shared" ca="1" si="1"/>
        <v>0.83077356215997389</v>
      </c>
      <c r="C33" s="17">
        <f>IF(AND(問題解答データベース!D33&gt;=小テスト!$C$6,D33&lt;=小テスト!$E$6),1,0)</f>
        <v>1</v>
      </c>
      <c r="D33" s="44">
        <v>32</v>
      </c>
      <c r="E33" s="45" t="s">
        <v>108</v>
      </c>
      <c r="F33" s="46" t="s">
        <v>109</v>
      </c>
    </row>
    <row r="34" spans="1:6" ht="17">
      <c r="A34" s="15">
        <f t="shared" ca="1" si="0"/>
        <v>225</v>
      </c>
      <c r="B34" s="16">
        <f t="shared" ca="1" si="1"/>
        <v>0.88740402907380922</v>
      </c>
      <c r="C34" s="17">
        <f>IF(AND(問題解答データベース!D34&gt;=小テスト!$C$6,D34&lt;=小テスト!$E$6),1,0)</f>
        <v>1</v>
      </c>
      <c r="D34" s="44">
        <v>33</v>
      </c>
      <c r="E34" s="45" t="s">
        <v>110</v>
      </c>
      <c r="F34" s="46" t="s">
        <v>111</v>
      </c>
    </row>
    <row r="35" spans="1:6" ht="17">
      <c r="A35" s="15">
        <f t="shared" ca="1" si="0"/>
        <v>138</v>
      </c>
      <c r="B35" s="16">
        <f t="shared" ca="1" si="1"/>
        <v>0.93357371305008874</v>
      </c>
      <c r="C35" s="17">
        <f>IF(AND(問題解答データベース!D35&gt;=小テスト!$C$6,D35&lt;=小テスト!$E$6),1,0)</f>
        <v>1</v>
      </c>
      <c r="D35" s="44">
        <v>34</v>
      </c>
      <c r="E35" s="45" t="s">
        <v>112</v>
      </c>
      <c r="F35" s="46" t="s">
        <v>113</v>
      </c>
    </row>
    <row r="36" spans="1:6" ht="17">
      <c r="A36" s="15">
        <f t="shared" ca="1" si="0"/>
        <v>1223</v>
      </c>
      <c r="B36" s="16">
        <f t="shared" ca="1" si="1"/>
        <v>0.36231695931365748</v>
      </c>
      <c r="C36" s="17">
        <f>IF(AND(問題解答データベース!D36&gt;=小テスト!$C$6,D36&lt;=小テスト!$E$6),1,0)</f>
        <v>1</v>
      </c>
      <c r="D36" s="44">
        <v>35</v>
      </c>
      <c r="E36" s="45" t="s">
        <v>114</v>
      </c>
      <c r="F36" s="46" t="s">
        <v>115</v>
      </c>
    </row>
    <row r="37" spans="1:6" ht="17">
      <c r="A37" s="15">
        <f t="shared" ca="1" si="0"/>
        <v>920</v>
      </c>
      <c r="B37" s="16">
        <f t="shared" ca="1" si="1"/>
        <v>0.51445488079051327</v>
      </c>
      <c r="C37" s="17">
        <f>IF(AND(問題解答データベース!D37&gt;=小テスト!$C$6,D37&lt;=小テスト!$E$6),1,0)</f>
        <v>1</v>
      </c>
      <c r="D37" s="44">
        <v>36</v>
      </c>
      <c r="E37" s="45" t="s">
        <v>116</v>
      </c>
      <c r="F37" s="46" t="s">
        <v>117</v>
      </c>
    </row>
    <row r="38" spans="1:6" ht="17">
      <c r="A38" s="15">
        <f t="shared" ca="1" si="0"/>
        <v>805</v>
      </c>
      <c r="B38" s="16">
        <f t="shared" ca="1" si="1"/>
        <v>0.57441232495748629</v>
      </c>
      <c r="C38" s="17">
        <f>IF(AND(問題解答データベース!D38&gt;=小テスト!$C$6,D38&lt;=小テスト!$E$6),1,0)</f>
        <v>1</v>
      </c>
      <c r="D38" s="44">
        <v>37</v>
      </c>
      <c r="E38" s="45" t="s">
        <v>118</v>
      </c>
      <c r="F38" s="46" t="s">
        <v>2077</v>
      </c>
    </row>
    <row r="39" spans="1:6" ht="17">
      <c r="A39" s="15">
        <f t="shared" ca="1" si="0"/>
        <v>587</v>
      </c>
      <c r="B39" s="16">
        <f t="shared" ca="1" si="1"/>
        <v>0.68991485918679263</v>
      </c>
      <c r="C39" s="17">
        <f>IF(AND(問題解答データベース!D39&gt;=小テスト!$C$6,D39&lt;=小テスト!$E$6),1,0)</f>
        <v>1</v>
      </c>
      <c r="D39" s="44">
        <v>38</v>
      </c>
      <c r="E39" s="45" t="s">
        <v>119</v>
      </c>
      <c r="F39" s="46" t="s">
        <v>120</v>
      </c>
    </row>
    <row r="40" spans="1:6" ht="17">
      <c r="A40" s="15">
        <f t="shared" ca="1" si="0"/>
        <v>276</v>
      </c>
      <c r="B40" s="16">
        <f t="shared" ca="1" si="1"/>
        <v>0.85644676173671919</v>
      </c>
      <c r="C40" s="17">
        <f>IF(AND(問題解答データベース!D40&gt;=小テスト!$C$6,D40&lt;=小テスト!$E$6),1,0)</f>
        <v>1</v>
      </c>
      <c r="D40" s="44">
        <v>39</v>
      </c>
      <c r="E40" s="45" t="s">
        <v>121</v>
      </c>
      <c r="F40" s="46" t="s">
        <v>2078</v>
      </c>
    </row>
    <row r="41" spans="1:6" ht="17">
      <c r="A41" s="15">
        <f t="shared" ca="1" si="0"/>
        <v>273</v>
      </c>
      <c r="B41" s="16">
        <f t="shared" ca="1" si="1"/>
        <v>0.85826247266660349</v>
      </c>
      <c r="C41" s="17">
        <f>IF(AND(問題解答データベース!D41&gt;=小テスト!$C$6,D41&lt;=小テスト!$E$6),1,0)</f>
        <v>1</v>
      </c>
      <c r="D41" s="44">
        <v>40</v>
      </c>
      <c r="E41" s="45" t="s">
        <v>122</v>
      </c>
      <c r="F41" s="46" t="s">
        <v>123</v>
      </c>
    </row>
    <row r="42" spans="1:6" ht="17">
      <c r="A42" s="15">
        <f t="shared" ca="1" si="0"/>
        <v>1390</v>
      </c>
      <c r="B42" s="16">
        <f t="shared" ca="1" si="1"/>
        <v>0.2693345100360427</v>
      </c>
      <c r="C42" s="17">
        <f>IF(AND(問題解答データベース!D42&gt;=小テスト!$C$6,D42&lt;=小テスト!$E$6),1,0)</f>
        <v>1</v>
      </c>
      <c r="D42" s="44">
        <v>41</v>
      </c>
      <c r="E42" s="45" t="s">
        <v>124</v>
      </c>
      <c r="F42" s="46" t="s">
        <v>125</v>
      </c>
    </row>
    <row r="43" spans="1:6" ht="17">
      <c r="A43" s="15">
        <f t="shared" ca="1" si="0"/>
        <v>1281</v>
      </c>
      <c r="B43" s="16">
        <f t="shared" ca="1" si="1"/>
        <v>0.33111738300030258</v>
      </c>
      <c r="C43" s="17">
        <f>IF(AND(問題解答データベース!D43&gt;=小テスト!$C$6,D43&lt;=小テスト!$E$6),1,0)</f>
        <v>1</v>
      </c>
      <c r="D43" s="44">
        <v>42</v>
      </c>
      <c r="E43" s="45" t="s">
        <v>126</v>
      </c>
      <c r="F43" s="46" t="s">
        <v>127</v>
      </c>
    </row>
    <row r="44" spans="1:6" ht="17">
      <c r="A44" s="15">
        <f t="shared" ca="1" si="0"/>
        <v>801</v>
      </c>
      <c r="B44" s="16">
        <f t="shared" ca="1" si="1"/>
        <v>0.57505332826173372</v>
      </c>
      <c r="C44" s="17">
        <f>IF(AND(問題解答データベース!D44&gt;=小テスト!$C$6,D44&lt;=小テスト!$E$6),1,0)</f>
        <v>1</v>
      </c>
      <c r="D44" s="44">
        <v>43</v>
      </c>
      <c r="E44" s="45" t="s">
        <v>44</v>
      </c>
      <c r="F44" s="46" t="s">
        <v>128</v>
      </c>
    </row>
    <row r="45" spans="1:6" ht="17">
      <c r="A45" s="15">
        <f t="shared" ca="1" si="0"/>
        <v>279</v>
      </c>
      <c r="B45" s="16">
        <f t="shared" ca="1" si="1"/>
        <v>0.85530004283872552</v>
      </c>
      <c r="C45" s="17">
        <f>IF(AND(問題解答データベース!D45&gt;=小テスト!$C$6,D45&lt;=小テスト!$E$6),1,0)</f>
        <v>1</v>
      </c>
      <c r="D45" s="44">
        <v>44</v>
      </c>
      <c r="E45" s="45" t="s">
        <v>129</v>
      </c>
      <c r="F45" s="46" t="s">
        <v>130</v>
      </c>
    </row>
    <row r="46" spans="1:6" ht="17">
      <c r="A46" s="15">
        <f t="shared" ca="1" si="0"/>
        <v>712</v>
      </c>
      <c r="B46" s="16">
        <f t="shared" ca="1" si="1"/>
        <v>0.62191303836903011</v>
      </c>
      <c r="C46" s="17">
        <f>IF(AND(問題解答データベース!D46&gt;=小テスト!$C$6,D46&lt;=小テスト!$E$6),1,0)</f>
        <v>1</v>
      </c>
      <c r="D46" s="44">
        <v>45</v>
      </c>
      <c r="E46" s="45" t="s">
        <v>21</v>
      </c>
      <c r="F46" s="46" t="s">
        <v>2079</v>
      </c>
    </row>
    <row r="47" spans="1:6" ht="17">
      <c r="A47" s="15">
        <f t="shared" ca="1" si="0"/>
        <v>606</v>
      </c>
      <c r="B47" s="16">
        <f t="shared" ca="1" si="1"/>
        <v>0.68083866510648849</v>
      </c>
      <c r="C47" s="17">
        <f>IF(AND(問題解答データベース!D47&gt;=小テスト!$C$6,D47&lt;=小テスト!$E$6),1,0)</f>
        <v>1</v>
      </c>
      <c r="D47" s="44">
        <v>46</v>
      </c>
      <c r="E47" s="45" t="s">
        <v>131</v>
      </c>
      <c r="F47" s="46" t="s">
        <v>2080</v>
      </c>
    </row>
    <row r="48" spans="1:6" ht="17">
      <c r="A48" s="15">
        <f t="shared" ca="1" si="0"/>
        <v>1773</v>
      </c>
      <c r="B48" s="16">
        <f t="shared" ca="1" si="1"/>
        <v>6.3255405127221831E-2</v>
      </c>
      <c r="C48" s="17">
        <f>IF(AND(問題解答データベース!D48&gt;=小テスト!$C$6,D48&lt;=小テスト!$E$6),1,0)</f>
        <v>1</v>
      </c>
      <c r="D48" s="44">
        <v>47</v>
      </c>
      <c r="E48" s="45" t="s">
        <v>132</v>
      </c>
      <c r="F48" s="46" t="s">
        <v>2081</v>
      </c>
    </row>
    <row r="49" spans="1:6" ht="17">
      <c r="A49" s="15">
        <f t="shared" ca="1" si="0"/>
        <v>174</v>
      </c>
      <c r="B49" s="16">
        <f t="shared" ca="1" si="1"/>
        <v>0.91645029448335646</v>
      </c>
      <c r="C49" s="17">
        <f>IF(AND(問題解答データベース!D49&gt;=小テスト!$C$6,D49&lt;=小テスト!$E$6),1,0)</f>
        <v>1</v>
      </c>
      <c r="D49" s="44">
        <v>48</v>
      </c>
      <c r="E49" s="45" t="s">
        <v>133</v>
      </c>
      <c r="F49" s="46" t="s">
        <v>134</v>
      </c>
    </row>
    <row r="50" spans="1:6" ht="17">
      <c r="A50" s="15">
        <f t="shared" ca="1" si="0"/>
        <v>1485</v>
      </c>
      <c r="B50" s="16">
        <f t="shared" ca="1" si="1"/>
        <v>0.21128751171922266</v>
      </c>
      <c r="C50" s="17">
        <f>IF(AND(問題解答データベース!D50&gt;=小テスト!$C$6,D50&lt;=小テスト!$E$6),1,0)</f>
        <v>1</v>
      </c>
      <c r="D50" s="44">
        <v>49</v>
      </c>
      <c r="E50" s="45" t="s">
        <v>135</v>
      </c>
      <c r="F50" s="46" t="s">
        <v>136</v>
      </c>
    </row>
    <row r="51" spans="1:6" ht="17">
      <c r="A51" s="15">
        <f t="shared" ca="1" si="0"/>
        <v>787</v>
      </c>
      <c r="B51" s="16">
        <f t="shared" ca="1" si="1"/>
        <v>0.5804433100342612</v>
      </c>
      <c r="C51" s="17">
        <f>IF(AND(問題解答データベース!D51&gt;=小テスト!$C$6,D51&lt;=小テスト!$E$6),1,0)</f>
        <v>1</v>
      </c>
      <c r="D51" s="44">
        <v>50</v>
      </c>
      <c r="E51" s="45" t="s">
        <v>137</v>
      </c>
      <c r="F51" s="46" t="s">
        <v>138</v>
      </c>
    </row>
    <row r="52" spans="1:6" ht="17">
      <c r="A52" s="15">
        <f t="shared" ca="1" si="0"/>
        <v>184</v>
      </c>
      <c r="B52" s="16">
        <f t="shared" ca="1" si="1"/>
        <v>0.91153008265052382</v>
      </c>
      <c r="C52" s="17">
        <f>IF(AND(問題解答データベース!D52&gt;=小テスト!$C$6,D52&lt;=小テスト!$E$6),1,0)</f>
        <v>1</v>
      </c>
      <c r="D52" s="44">
        <v>51</v>
      </c>
      <c r="E52" s="45" t="s">
        <v>139</v>
      </c>
      <c r="F52" s="46" t="s">
        <v>2082</v>
      </c>
    </row>
    <row r="53" spans="1:6" ht="17">
      <c r="A53" s="15">
        <f t="shared" ca="1" si="0"/>
        <v>308</v>
      </c>
      <c r="B53" s="16">
        <f t="shared" ca="1" si="1"/>
        <v>0.84127299808666633</v>
      </c>
      <c r="C53" s="17">
        <f>IF(AND(問題解答データベース!D53&gt;=小テスト!$C$6,D53&lt;=小テスト!$E$6),1,0)</f>
        <v>1</v>
      </c>
      <c r="D53" s="44">
        <v>52</v>
      </c>
      <c r="E53" s="45" t="s">
        <v>23</v>
      </c>
      <c r="F53" s="46" t="s">
        <v>140</v>
      </c>
    </row>
    <row r="54" spans="1:6" ht="17">
      <c r="A54" s="15">
        <f t="shared" ca="1" si="0"/>
        <v>1089</v>
      </c>
      <c r="B54" s="16">
        <f t="shared" ca="1" si="1"/>
        <v>0.43029285231942738</v>
      </c>
      <c r="C54" s="17">
        <f>IF(AND(問題解答データベース!D54&gt;=小テスト!$C$6,D54&lt;=小テスト!$E$6),1,0)</f>
        <v>1</v>
      </c>
      <c r="D54" s="44">
        <v>53</v>
      </c>
      <c r="E54" s="45" t="s">
        <v>141</v>
      </c>
      <c r="F54" s="46" t="s">
        <v>2083</v>
      </c>
    </row>
    <row r="55" spans="1:6" ht="17">
      <c r="A55" s="15">
        <f t="shared" ca="1" si="0"/>
        <v>496</v>
      </c>
      <c r="B55" s="16">
        <f t="shared" ca="1" si="1"/>
        <v>0.74096495707864118</v>
      </c>
      <c r="C55" s="17">
        <f>IF(AND(問題解答データベース!D55&gt;=小テスト!$C$6,D55&lt;=小テスト!$E$6),1,0)</f>
        <v>1</v>
      </c>
      <c r="D55" s="44">
        <v>54</v>
      </c>
      <c r="E55" s="45" t="s">
        <v>142</v>
      </c>
      <c r="F55" s="46" t="s">
        <v>2084</v>
      </c>
    </row>
    <row r="56" spans="1:6" ht="17">
      <c r="A56" s="15">
        <f t="shared" ca="1" si="0"/>
        <v>1086</v>
      </c>
      <c r="B56" s="16">
        <f t="shared" ca="1" si="1"/>
        <v>0.43305717181694758</v>
      </c>
      <c r="C56" s="17">
        <f>IF(AND(問題解答データベース!D56&gt;=小テスト!$C$6,D56&lt;=小テスト!$E$6),1,0)</f>
        <v>1</v>
      </c>
      <c r="D56" s="44">
        <v>55</v>
      </c>
      <c r="E56" s="45" t="s">
        <v>39</v>
      </c>
      <c r="F56" s="46" t="s">
        <v>2085</v>
      </c>
    </row>
    <row r="57" spans="1:6" ht="17">
      <c r="A57" s="15">
        <f t="shared" ca="1" si="0"/>
        <v>1698</v>
      </c>
      <c r="B57" s="16">
        <f t="shared" ca="1" si="1"/>
        <v>0.10185832185727872</v>
      </c>
      <c r="C57" s="17">
        <f>IF(AND(問題解答データベース!D57&gt;=小テスト!$C$6,D57&lt;=小テスト!$E$6),1,0)</f>
        <v>1</v>
      </c>
      <c r="D57" s="44">
        <v>56</v>
      </c>
      <c r="E57" s="45" t="s">
        <v>143</v>
      </c>
      <c r="F57" s="46" t="s">
        <v>144</v>
      </c>
    </row>
    <row r="58" spans="1:6" ht="17">
      <c r="A58" s="15">
        <f t="shared" ca="1" si="0"/>
        <v>1602</v>
      </c>
      <c r="B58" s="16">
        <f t="shared" ca="1" si="1"/>
        <v>0.1546964796164102</v>
      </c>
      <c r="C58" s="17">
        <f>IF(AND(問題解答データベース!D58&gt;=小テスト!$C$6,D58&lt;=小テスト!$E$6),1,0)</f>
        <v>1</v>
      </c>
      <c r="D58" s="44">
        <v>57</v>
      </c>
      <c r="E58" s="45" t="s">
        <v>145</v>
      </c>
      <c r="F58" s="46" t="s">
        <v>146</v>
      </c>
    </row>
    <row r="59" spans="1:6" ht="17">
      <c r="A59" s="15">
        <f t="shared" ca="1" si="0"/>
        <v>393</v>
      </c>
      <c r="B59" s="16">
        <f t="shared" ca="1" si="1"/>
        <v>0.79010337490900961</v>
      </c>
      <c r="C59" s="17">
        <f>IF(AND(問題解答データベース!D59&gt;=小テスト!$C$6,D59&lt;=小テスト!$E$6),1,0)</f>
        <v>1</v>
      </c>
      <c r="D59" s="44">
        <v>58</v>
      </c>
      <c r="E59" s="45" t="s">
        <v>62</v>
      </c>
      <c r="F59" s="46" t="s">
        <v>147</v>
      </c>
    </row>
    <row r="60" spans="1:6" ht="17">
      <c r="A60" s="15">
        <f t="shared" ca="1" si="0"/>
        <v>262</v>
      </c>
      <c r="B60" s="16">
        <f t="shared" ca="1" si="1"/>
        <v>0.86325739224602893</v>
      </c>
      <c r="C60" s="17">
        <f>IF(AND(問題解答データベース!D60&gt;=小テスト!$C$6,D60&lt;=小テスト!$E$6),1,0)</f>
        <v>1</v>
      </c>
      <c r="D60" s="44">
        <v>59</v>
      </c>
      <c r="E60" s="45" t="s">
        <v>148</v>
      </c>
      <c r="F60" s="46" t="s">
        <v>2086</v>
      </c>
    </row>
    <row r="61" spans="1:6" ht="17">
      <c r="A61" s="15">
        <f t="shared" ca="1" si="0"/>
        <v>1501</v>
      </c>
      <c r="B61" s="16">
        <f t="shared" ca="1" si="1"/>
        <v>0.199987120547231</v>
      </c>
      <c r="C61" s="17">
        <f>IF(AND(問題解答データベース!D61&gt;=小テスト!$C$6,D61&lt;=小テスト!$E$6),1,0)</f>
        <v>1</v>
      </c>
      <c r="D61" s="44">
        <v>60</v>
      </c>
      <c r="E61" s="45" t="s">
        <v>24</v>
      </c>
      <c r="F61" s="46" t="s">
        <v>149</v>
      </c>
    </row>
    <row r="62" spans="1:6" ht="17">
      <c r="A62" s="15">
        <f t="shared" ca="1" si="0"/>
        <v>1581</v>
      </c>
      <c r="B62" s="16">
        <f t="shared" ca="1" si="1"/>
        <v>0.1652754134892126</v>
      </c>
      <c r="C62" s="17">
        <f>IF(AND(問題解答データベース!D62&gt;=小テスト!$C$6,D62&lt;=小テスト!$E$6),1,0)</f>
        <v>1</v>
      </c>
      <c r="D62" s="44">
        <v>61</v>
      </c>
      <c r="E62" s="45" t="s">
        <v>150</v>
      </c>
      <c r="F62" s="46" t="s">
        <v>151</v>
      </c>
    </row>
    <row r="63" spans="1:6" ht="17">
      <c r="A63" s="15">
        <f t="shared" ca="1" si="0"/>
        <v>1153</v>
      </c>
      <c r="B63" s="16">
        <f t="shared" ca="1" si="1"/>
        <v>0.39397034341943549</v>
      </c>
      <c r="C63" s="17">
        <f>IF(AND(問題解答データベース!D63&gt;=小テスト!$C$6,D63&lt;=小テスト!$E$6),1,0)</f>
        <v>1</v>
      </c>
      <c r="D63" s="44">
        <v>62</v>
      </c>
      <c r="E63" s="45" t="s">
        <v>152</v>
      </c>
      <c r="F63" s="46" t="s">
        <v>153</v>
      </c>
    </row>
    <row r="64" spans="1:6" ht="17">
      <c r="A64" s="15">
        <f t="shared" ca="1" si="0"/>
        <v>1523</v>
      </c>
      <c r="B64" s="16">
        <f t="shared" ca="1" si="1"/>
        <v>0.19071867509438767</v>
      </c>
      <c r="C64" s="17">
        <f>IF(AND(問題解答データベース!D64&gt;=小テスト!$C$6,D64&lt;=小テスト!$E$6),1,0)</f>
        <v>1</v>
      </c>
      <c r="D64" s="44">
        <v>63</v>
      </c>
      <c r="E64" s="45" t="s">
        <v>51</v>
      </c>
      <c r="F64" s="46" t="s">
        <v>154</v>
      </c>
    </row>
    <row r="65" spans="1:6" ht="17">
      <c r="A65" s="15">
        <f t="shared" ca="1" si="0"/>
        <v>916</v>
      </c>
      <c r="B65" s="16">
        <f t="shared" ca="1" si="1"/>
        <v>0.51558156633286556</v>
      </c>
      <c r="C65" s="17">
        <f>IF(AND(問題解答データベース!D65&gt;=小テスト!$C$6,D65&lt;=小テスト!$E$6),1,0)</f>
        <v>1</v>
      </c>
      <c r="D65" s="44">
        <v>64</v>
      </c>
      <c r="E65" s="45" t="s">
        <v>155</v>
      </c>
      <c r="F65" s="46" t="s">
        <v>2087</v>
      </c>
    </row>
    <row r="66" spans="1:6" ht="17">
      <c r="A66" s="15">
        <f t="shared" ca="1" si="0"/>
        <v>679</v>
      </c>
      <c r="B66" s="16">
        <f t="shared" ca="1" si="1"/>
        <v>0.64313768650668734</v>
      </c>
      <c r="C66" s="17">
        <f>IF(AND(問題解答データベース!D66&gt;=小テスト!$C$6,D66&lt;=小テスト!$E$6),1,0)</f>
        <v>1</v>
      </c>
      <c r="D66" s="44">
        <v>65</v>
      </c>
      <c r="E66" s="45" t="s">
        <v>156</v>
      </c>
      <c r="F66" s="46" t="s">
        <v>157</v>
      </c>
    </row>
    <row r="67" spans="1:6" ht="17">
      <c r="A67" s="15">
        <f t="shared" ref="A67:A130" ca="1" si="2">RANK(B67,$B$2:$B$1901,0)</f>
        <v>183</v>
      </c>
      <c r="B67" s="16">
        <f t="shared" ref="B67:B130" ca="1" si="3">IF(C67=1,RAND(),0)</f>
        <v>0.91156943390726752</v>
      </c>
      <c r="C67" s="17">
        <f>IF(AND(問題解答データベース!D67&gt;=小テスト!$C$6,D67&lt;=小テスト!$E$6),1,0)</f>
        <v>1</v>
      </c>
      <c r="D67" s="44">
        <v>66</v>
      </c>
      <c r="E67" s="45" t="s">
        <v>69</v>
      </c>
      <c r="F67" s="46" t="s">
        <v>158</v>
      </c>
    </row>
    <row r="68" spans="1:6" ht="17">
      <c r="A68" s="15">
        <f t="shared" ca="1" si="2"/>
        <v>62</v>
      </c>
      <c r="B68" s="16">
        <f t="shared" ca="1" si="3"/>
        <v>0.96801711700797632</v>
      </c>
      <c r="C68" s="17">
        <f>IF(AND(問題解答データベース!D68&gt;=小テスト!$C$6,D68&lt;=小テスト!$E$6),1,0)</f>
        <v>1</v>
      </c>
      <c r="D68" s="44">
        <v>67</v>
      </c>
      <c r="E68" s="45" t="s">
        <v>61</v>
      </c>
      <c r="F68" s="46" t="s">
        <v>159</v>
      </c>
    </row>
    <row r="69" spans="1:6" ht="17">
      <c r="A69" s="15">
        <f t="shared" ca="1" si="2"/>
        <v>823</v>
      </c>
      <c r="B69" s="16">
        <f t="shared" ca="1" si="3"/>
        <v>0.5616758415909443</v>
      </c>
      <c r="C69" s="17">
        <f>IF(AND(問題解答データベース!D69&gt;=小テスト!$C$6,D69&lt;=小テスト!$E$6),1,0)</f>
        <v>1</v>
      </c>
      <c r="D69" s="44">
        <v>68</v>
      </c>
      <c r="E69" s="45" t="s">
        <v>160</v>
      </c>
      <c r="F69" s="46" t="s">
        <v>161</v>
      </c>
    </row>
    <row r="70" spans="1:6" ht="17">
      <c r="A70" s="15">
        <f t="shared" ca="1" si="2"/>
        <v>1170</v>
      </c>
      <c r="B70" s="16">
        <f t="shared" ca="1" si="3"/>
        <v>0.38465814210272042</v>
      </c>
      <c r="C70" s="17">
        <f>IF(AND(問題解答データベース!D70&gt;=小テスト!$C$6,D70&lt;=小テスト!$E$6),1,0)</f>
        <v>1</v>
      </c>
      <c r="D70" s="44">
        <v>69</v>
      </c>
      <c r="E70" s="45" t="s">
        <v>162</v>
      </c>
      <c r="F70" s="46" t="s">
        <v>2088</v>
      </c>
    </row>
    <row r="71" spans="1:6" ht="17">
      <c r="A71" s="15">
        <f t="shared" ca="1" si="2"/>
        <v>1197</v>
      </c>
      <c r="B71" s="16">
        <f t="shared" ca="1" si="3"/>
        <v>0.36920877131178687</v>
      </c>
      <c r="C71" s="17">
        <f>IF(AND(問題解答データベース!D71&gt;=小テスト!$C$6,D71&lt;=小テスト!$E$6),1,0)</f>
        <v>1</v>
      </c>
      <c r="D71" s="44">
        <v>70</v>
      </c>
      <c r="E71" s="45" t="s">
        <v>35</v>
      </c>
      <c r="F71" s="46" t="s">
        <v>11</v>
      </c>
    </row>
    <row r="72" spans="1:6" ht="17">
      <c r="A72" s="15">
        <f t="shared" ca="1" si="2"/>
        <v>197</v>
      </c>
      <c r="B72" s="16">
        <f t="shared" ca="1" si="3"/>
        <v>0.90498483806035557</v>
      </c>
      <c r="C72" s="17">
        <f>IF(AND(問題解答データベース!D72&gt;=小テスト!$C$6,D72&lt;=小テスト!$E$6),1,0)</f>
        <v>1</v>
      </c>
      <c r="D72" s="44">
        <v>71</v>
      </c>
      <c r="E72" s="45" t="s">
        <v>163</v>
      </c>
      <c r="F72" s="46" t="s">
        <v>2089</v>
      </c>
    </row>
    <row r="73" spans="1:6" ht="17">
      <c r="A73" s="15">
        <f t="shared" ca="1" si="2"/>
        <v>1799</v>
      </c>
      <c r="B73" s="16">
        <f t="shared" ca="1" si="3"/>
        <v>4.8603911940786615E-2</v>
      </c>
      <c r="C73" s="17">
        <f>IF(AND(問題解答データベース!D73&gt;=小テスト!$C$6,D73&lt;=小テスト!$E$6),1,0)</f>
        <v>1</v>
      </c>
      <c r="D73" s="44">
        <v>72</v>
      </c>
      <c r="E73" s="45" t="s">
        <v>164</v>
      </c>
      <c r="F73" s="46" t="s">
        <v>165</v>
      </c>
    </row>
    <row r="74" spans="1:6" ht="17">
      <c r="A74" s="15">
        <f t="shared" ca="1" si="2"/>
        <v>1135</v>
      </c>
      <c r="B74" s="16">
        <f t="shared" ca="1" si="3"/>
        <v>0.40489389358205097</v>
      </c>
      <c r="C74" s="17">
        <f>IF(AND(問題解答データベース!D74&gt;=小テスト!$C$6,D74&lt;=小テスト!$E$6),1,0)</f>
        <v>1</v>
      </c>
      <c r="D74" s="44">
        <v>73</v>
      </c>
      <c r="E74" s="45" t="s">
        <v>22</v>
      </c>
      <c r="F74" s="46" t="s">
        <v>166</v>
      </c>
    </row>
    <row r="75" spans="1:6" ht="17">
      <c r="A75" s="15">
        <f t="shared" ca="1" si="2"/>
        <v>244</v>
      </c>
      <c r="B75" s="16">
        <f t="shared" ca="1" si="3"/>
        <v>0.8728299702405603</v>
      </c>
      <c r="C75" s="17">
        <f>IF(AND(問題解答データベース!D75&gt;=小テスト!$C$6,D75&lt;=小テスト!$E$6),1,0)</f>
        <v>1</v>
      </c>
      <c r="D75" s="44">
        <v>74</v>
      </c>
      <c r="E75" s="45" t="s">
        <v>38</v>
      </c>
      <c r="F75" s="46" t="s">
        <v>12</v>
      </c>
    </row>
    <row r="76" spans="1:6" ht="17">
      <c r="A76" s="15">
        <f t="shared" ca="1" si="2"/>
        <v>407</v>
      </c>
      <c r="B76" s="16">
        <f t="shared" ca="1" si="3"/>
        <v>0.78367144571928404</v>
      </c>
      <c r="C76" s="17">
        <f>IF(AND(問題解答データベース!D76&gt;=小テスト!$C$6,D76&lt;=小テスト!$E$6),1,0)</f>
        <v>1</v>
      </c>
      <c r="D76" s="44">
        <v>75</v>
      </c>
      <c r="E76" s="45" t="s">
        <v>167</v>
      </c>
      <c r="F76" s="46" t="s">
        <v>2090</v>
      </c>
    </row>
    <row r="77" spans="1:6" ht="17">
      <c r="A77" s="15">
        <f t="shared" ca="1" si="2"/>
        <v>1225</v>
      </c>
      <c r="B77" s="16">
        <f t="shared" ca="1" si="3"/>
        <v>0.36209418218731348</v>
      </c>
      <c r="C77" s="17">
        <f>IF(AND(問題解答データベース!D77&gt;=小テスト!$C$6,D77&lt;=小テスト!$E$6),1,0)</f>
        <v>1</v>
      </c>
      <c r="D77" s="44">
        <v>76</v>
      </c>
      <c r="E77" s="45" t="s">
        <v>168</v>
      </c>
      <c r="F77" s="46" t="s">
        <v>169</v>
      </c>
    </row>
    <row r="78" spans="1:6" ht="17">
      <c r="A78" s="15">
        <f t="shared" ca="1" si="2"/>
        <v>745</v>
      </c>
      <c r="B78" s="16">
        <f t="shared" ca="1" si="3"/>
        <v>0.60490246195983632</v>
      </c>
      <c r="C78" s="17">
        <f>IF(AND(問題解答データベース!D78&gt;=小テスト!$C$6,D78&lt;=小テスト!$E$6),1,0)</f>
        <v>1</v>
      </c>
      <c r="D78" s="44">
        <v>77</v>
      </c>
      <c r="E78" s="45" t="s">
        <v>20</v>
      </c>
      <c r="F78" s="46" t="s">
        <v>170</v>
      </c>
    </row>
    <row r="79" spans="1:6" ht="17">
      <c r="A79" s="15">
        <f t="shared" ca="1" si="2"/>
        <v>1879</v>
      </c>
      <c r="B79" s="16">
        <f t="shared" ca="1" si="3"/>
        <v>1.0402127853503584E-2</v>
      </c>
      <c r="C79" s="17">
        <f>IF(AND(問題解答データベース!D79&gt;=小テスト!$C$6,D79&lt;=小テスト!$E$6),1,0)</f>
        <v>1</v>
      </c>
      <c r="D79" s="44">
        <v>78</v>
      </c>
      <c r="E79" s="45" t="s">
        <v>171</v>
      </c>
      <c r="F79" s="46" t="s">
        <v>172</v>
      </c>
    </row>
    <row r="80" spans="1:6" ht="17">
      <c r="A80" s="15">
        <f t="shared" ca="1" si="2"/>
        <v>632</v>
      </c>
      <c r="B80" s="16">
        <f t="shared" ca="1" si="3"/>
        <v>0.66434884277521966</v>
      </c>
      <c r="C80" s="17">
        <f>IF(AND(問題解答データベース!D80&gt;=小テスト!$C$6,D80&lt;=小テスト!$E$6),1,0)</f>
        <v>1</v>
      </c>
      <c r="D80" s="44">
        <v>79</v>
      </c>
      <c r="E80" s="45" t="s">
        <v>173</v>
      </c>
      <c r="F80" s="46" t="s">
        <v>2091</v>
      </c>
    </row>
    <row r="81" spans="1:6" ht="17">
      <c r="A81" s="15">
        <f t="shared" ca="1" si="2"/>
        <v>129</v>
      </c>
      <c r="B81" s="16">
        <f t="shared" ca="1" si="3"/>
        <v>0.93871431209991696</v>
      </c>
      <c r="C81" s="17">
        <f>IF(AND(問題解答データベース!D81&gt;=小テスト!$C$6,D81&lt;=小テスト!$E$6),1,0)</f>
        <v>1</v>
      </c>
      <c r="D81" s="44">
        <v>80</v>
      </c>
      <c r="E81" s="45" t="s">
        <v>47</v>
      </c>
      <c r="F81" s="46" t="s">
        <v>2092</v>
      </c>
    </row>
    <row r="82" spans="1:6" ht="17">
      <c r="A82" s="15">
        <f t="shared" ca="1" si="2"/>
        <v>398</v>
      </c>
      <c r="B82" s="16">
        <f t="shared" ca="1" si="3"/>
        <v>0.78745816099909238</v>
      </c>
      <c r="C82" s="17">
        <f>IF(AND(問題解答データベース!D82&gt;=小テスト!$C$6,D82&lt;=小テスト!$E$6),1,0)</f>
        <v>1</v>
      </c>
      <c r="D82" s="44">
        <v>81</v>
      </c>
      <c r="E82" s="45" t="s">
        <v>174</v>
      </c>
      <c r="F82" s="46" t="s">
        <v>175</v>
      </c>
    </row>
    <row r="83" spans="1:6" ht="17">
      <c r="A83" s="15">
        <f t="shared" ca="1" si="2"/>
        <v>349</v>
      </c>
      <c r="B83" s="16">
        <f t="shared" ca="1" si="3"/>
        <v>0.81271751593315711</v>
      </c>
      <c r="C83" s="17">
        <f>IF(AND(問題解答データベース!D83&gt;=小テスト!$C$6,D83&lt;=小テスト!$E$6),1,0)</f>
        <v>1</v>
      </c>
      <c r="D83" s="44">
        <v>82</v>
      </c>
      <c r="E83" s="45" t="s">
        <v>176</v>
      </c>
      <c r="F83" s="46" t="s">
        <v>177</v>
      </c>
    </row>
    <row r="84" spans="1:6" ht="17">
      <c r="A84" s="15">
        <f t="shared" ca="1" si="2"/>
        <v>210</v>
      </c>
      <c r="B84" s="16">
        <f t="shared" ca="1" si="3"/>
        <v>0.89843097534698169</v>
      </c>
      <c r="C84" s="17">
        <f>IF(AND(問題解答データベース!D84&gt;=小テスト!$C$6,D84&lt;=小テスト!$E$6),1,0)</f>
        <v>1</v>
      </c>
      <c r="D84" s="44">
        <v>83</v>
      </c>
      <c r="E84" s="45" t="s">
        <v>40</v>
      </c>
      <c r="F84" s="46" t="s">
        <v>2093</v>
      </c>
    </row>
    <row r="85" spans="1:6" ht="17">
      <c r="A85" s="15">
        <f t="shared" ca="1" si="2"/>
        <v>1526</v>
      </c>
      <c r="B85" s="16">
        <f t="shared" ca="1" si="3"/>
        <v>0.18891734843238495</v>
      </c>
      <c r="C85" s="17">
        <f>IF(AND(問題解答データベース!D85&gt;=小テスト!$C$6,D85&lt;=小テスト!$E$6),1,0)</f>
        <v>1</v>
      </c>
      <c r="D85" s="44">
        <v>84</v>
      </c>
      <c r="E85" s="45" t="s">
        <v>178</v>
      </c>
      <c r="F85" s="46" t="s">
        <v>179</v>
      </c>
    </row>
    <row r="86" spans="1:6" ht="17">
      <c r="A86" s="15">
        <f t="shared" ca="1" si="2"/>
        <v>1696</v>
      </c>
      <c r="B86" s="16">
        <f t="shared" ca="1" si="3"/>
        <v>0.10266561102012195</v>
      </c>
      <c r="C86" s="17">
        <f>IF(AND(問題解答データベース!D86&gt;=小テスト!$C$6,D86&lt;=小テスト!$E$6),1,0)</f>
        <v>1</v>
      </c>
      <c r="D86" s="44">
        <v>85</v>
      </c>
      <c r="E86" s="45" t="s">
        <v>48</v>
      </c>
      <c r="F86" s="46" t="s">
        <v>180</v>
      </c>
    </row>
    <row r="87" spans="1:6" ht="17">
      <c r="A87" s="15">
        <f t="shared" ca="1" si="2"/>
        <v>1</v>
      </c>
      <c r="B87" s="16">
        <f t="shared" ca="1" si="3"/>
        <v>0.99916413514427171</v>
      </c>
      <c r="C87" s="17">
        <f>IF(AND(問題解答データベース!D87&gt;=小テスト!$C$6,D87&lt;=小テスト!$E$6),1,0)</f>
        <v>1</v>
      </c>
      <c r="D87" s="44">
        <v>86</v>
      </c>
      <c r="E87" s="45" t="s">
        <v>181</v>
      </c>
      <c r="F87" s="46" t="s">
        <v>182</v>
      </c>
    </row>
    <row r="88" spans="1:6" ht="17">
      <c r="A88" s="15">
        <f t="shared" ca="1" si="2"/>
        <v>822</v>
      </c>
      <c r="B88" s="16">
        <f t="shared" ca="1" si="3"/>
        <v>0.56185152635544833</v>
      </c>
      <c r="C88" s="17">
        <f>IF(AND(問題解答データベース!D88&gt;=小テスト!$C$6,D88&lt;=小テスト!$E$6),1,0)</f>
        <v>1</v>
      </c>
      <c r="D88" s="44">
        <v>87</v>
      </c>
      <c r="E88" s="45" t="s">
        <v>183</v>
      </c>
      <c r="F88" s="46" t="s">
        <v>184</v>
      </c>
    </row>
    <row r="89" spans="1:6" ht="17">
      <c r="A89" s="15">
        <f t="shared" ca="1" si="2"/>
        <v>386</v>
      </c>
      <c r="B89" s="16">
        <f t="shared" ca="1" si="3"/>
        <v>0.79277471539065203</v>
      </c>
      <c r="C89" s="17">
        <f>IF(AND(問題解答データベース!D89&gt;=小テスト!$C$6,D89&lt;=小テスト!$E$6),1,0)</f>
        <v>1</v>
      </c>
      <c r="D89" s="44">
        <v>88</v>
      </c>
      <c r="E89" s="45" t="s">
        <v>185</v>
      </c>
      <c r="F89" s="46" t="s">
        <v>186</v>
      </c>
    </row>
    <row r="90" spans="1:6" ht="17">
      <c r="A90" s="15">
        <f t="shared" ca="1" si="2"/>
        <v>1132</v>
      </c>
      <c r="B90" s="16">
        <f t="shared" ca="1" si="3"/>
        <v>0.40698382880050388</v>
      </c>
      <c r="C90" s="17">
        <f>IF(AND(問題解答データベース!D90&gt;=小テスト!$C$6,D90&lt;=小テスト!$E$6),1,0)</f>
        <v>1</v>
      </c>
      <c r="D90" s="44">
        <v>89</v>
      </c>
      <c r="E90" s="45" t="s">
        <v>31</v>
      </c>
      <c r="F90" s="46" t="s">
        <v>187</v>
      </c>
    </row>
    <row r="91" spans="1:6" ht="17">
      <c r="A91" s="15">
        <f t="shared" ca="1" si="2"/>
        <v>879</v>
      </c>
      <c r="B91" s="16">
        <f t="shared" ca="1" si="3"/>
        <v>0.53341430258208522</v>
      </c>
      <c r="C91" s="17">
        <f>IF(AND(問題解答データベース!D91&gt;=小テスト!$C$6,D91&lt;=小テスト!$E$6),1,0)</f>
        <v>1</v>
      </c>
      <c r="D91" s="44">
        <v>90</v>
      </c>
      <c r="E91" s="45" t="s">
        <v>188</v>
      </c>
      <c r="F91" s="46" t="s">
        <v>2094</v>
      </c>
    </row>
    <row r="92" spans="1:6" ht="17">
      <c r="A92" s="15">
        <f t="shared" ca="1" si="2"/>
        <v>783</v>
      </c>
      <c r="B92" s="16">
        <f t="shared" ca="1" si="3"/>
        <v>0.58442332344342995</v>
      </c>
      <c r="C92" s="17">
        <f>IF(AND(問題解答データベース!D92&gt;=小テスト!$C$6,D92&lt;=小テスト!$E$6),1,0)</f>
        <v>1</v>
      </c>
      <c r="D92" s="44">
        <v>91</v>
      </c>
      <c r="E92" s="45" t="s">
        <v>34</v>
      </c>
      <c r="F92" s="46" t="s">
        <v>2095</v>
      </c>
    </row>
    <row r="93" spans="1:6" ht="17">
      <c r="A93" s="15">
        <f t="shared" ca="1" si="2"/>
        <v>1168</v>
      </c>
      <c r="B93" s="16">
        <f t="shared" ca="1" si="3"/>
        <v>0.38541081955900758</v>
      </c>
      <c r="C93" s="17">
        <f>IF(AND(問題解答データベース!D93&gt;=小テスト!$C$6,D93&lt;=小テスト!$E$6),1,0)</f>
        <v>1</v>
      </c>
      <c r="D93" s="44">
        <v>92</v>
      </c>
      <c r="E93" s="45" t="s">
        <v>189</v>
      </c>
      <c r="F93" s="46" t="s">
        <v>190</v>
      </c>
    </row>
    <row r="94" spans="1:6" ht="17">
      <c r="A94" s="15">
        <f t="shared" ca="1" si="2"/>
        <v>309</v>
      </c>
      <c r="B94" s="16">
        <f t="shared" ca="1" si="3"/>
        <v>0.83996651677610679</v>
      </c>
      <c r="C94" s="17">
        <f>IF(AND(問題解答データベース!D94&gt;=小テスト!$C$6,D94&lt;=小テスト!$E$6),1,0)</f>
        <v>1</v>
      </c>
      <c r="D94" s="44">
        <v>93</v>
      </c>
      <c r="E94" s="45" t="s">
        <v>191</v>
      </c>
      <c r="F94" s="46" t="s">
        <v>192</v>
      </c>
    </row>
    <row r="95" spans="1:6" ht="17">
      <c r="A95" s="15">
        <f t="shared" ca="1" si="2"/>
        <v>454</v>
      </c>
      <c r="B95" s="16">
        <f t="shared" ca="1" si="3"/>
        <v>0.76292312926742067</v>
      </c>
      <c r="C95" s="17">
        <f>IF(AND(問題解答データベース!D95&gt;=小テスト!$C$6,D95&lt;=小テスト!$E$6),1,0)</f>
        <v>1</v>
      </c>
      <c r="D95" s="44">
        <v>94</v>
      </c>
      <c r="E95" s="45" t="s">
        <v>37</v>
      </c>
      <c r="F95" s="46" t="s">
        <v>193</v>
      </c>
    </row>
    <row r="96" spans="1:6" ht="17">
      <c r="A96" s="15">
        <f t="shared" ca="1" si="2"/>
        <v>233</v>
      </c>
      <c r="B96" s="16">
        <f t="shared" ca="1" si="3"/>
        <v>0.88147859507848336</v>
      </c>
      <c r="C96" s="17">
        <f>IF(AND(問題解答データベース!D96&gt;=小テスト!$C$6,D96&lt;=小テスト!$E$6),1,0)</f>
        <v>1</v>
      </c>
      <c r="D96" s="44">
        <v>95</v>
      </c>
      <c r="E96" s="45" t="s">
        <v>41</v>
      </c>
      <c r="F96" s="46" t="s">
        <v>194</v>
      </c>
    </row>
    <row r="97" spans="1:6" ht="17">
      <c r="A97" s="15">
        <f t="shared" ca="1" si="2"/>
        <v>132</v>
      </c>
      <c r="B97" s="16">
        <f t="shared" ca="1" si="3"/>
        <v>0.93727079661788881</v>
      </c>
      <c r="C97" s="17">
        <f>IF(AND(問題解答データベース!D97&gt;=小テスト!$C$6,D97&lt;=小テスト!$E$6),1,0)</f>
        <v>1</v>
      </c>
      <c r="D97" s="44">
        <v>96</v>
      </c>
      <c r="E97" s="45" t="s">
        <v>195</v>
      </c>
      <c r="F97" s="46" t="s">
        <v>196</v>
      </c>
    </row>
    <row r="98" spans="1:6" ht="17">
      <c r="A98" s="15">
        <f t="shared" ca="1" si="2"/>
        <v>607</v>
      </c>
      <c r="B98" s="16">
        <f t="shared" ca="1" si="3"/>
        <v>0.67916808537177853</v>
      </c>
      <c r="C98" s="17">
        <f>IF(AND(問題解答データベース!D98&gt;=小テスト!$C$6,D98&lt;=小テスト!$E$6),1,0)</f>
        <v>1</v>
      </c>
      <c r="D98" s="44">
        <v>97</v>
      </c>
      <c r="E98" s="45" t="s">
        <v>197</v>
      </c>
      <c r="F98" s="46" t="s">
        <v>198</v>
      </c>
    </row>
    <row r="99" spans="1:6" ht="17">
      <c r="A99" s="15">
        <f t="shared" ca="1" si="2"/>
        <v>700</v>
      </c>
      <c r="B99" s="16">
        <f t="shared" ca="1" si="3"/>
        <v>0.62758117171336236</v>
      </c>
      <c r="C99" s="17">
        <f>IF(AND(問題解答データベース!D99&gt;=小テスト!$C$6,D99&lt;=小テスト!$E$6),1,0)</f>
        <v>1</v>
      </c>
      <c r="D99" s="44">
        <v>98</v>
      </c>
      <c r="E99" s="45" t="s">
        <v>199</v>
      </c>
      <c r="F99" s="46" t="s">
        <v>200</v>
      </c>
    </row>
    <row r="100" spans="1:6" ht="17">
      <c r="A100" s="15">
        <f t="shared" ca="1" si="2"/>
        <v>536</v>
      </c>
      <c r="B100" s="16">
        <f t="shared" ca="1" si="3"/>
        <v>0.72100422225248995</v>
      </c>
      <c r="C100" s="17">
        <f>IF(AND(問題解答データベース!D100&gt;=小テスト!$C$6,D100&lt;=小テスト!$E$6),1,0)</f>
        <v>1</v>
      </c>
      <c r="D100" s="44">
        <v>99</v>
      </c>
      <c r="E100" s="45" t="s">
        <v>201</v>
      </c>
      <c r="F100" s="46" t="s">
        <v>202</v>
      </c>
    </row>
    <row r="101" spans="1:6" ht="17">
      <c r="A101" s="15">
        <f t="shared" ca="1" si="2"/>
        <v>1234</v>
      </c>
      <c r="B101" s="16">
        <f t="shared" ca="1" si="3"/>
        <v>0.35856762370877782</v>
      </c>
      <c r="C101" s="17">
        <f>IF(AND(問題解答データベース!D101&gt;=小テスト!$C$6,D101&lt;=小テスト!$E$6),1,0)</f>
        <v>1</v>
      </c>
      <c r="D101" s="44">
        <v>100</v>
      </c>
      <c r="E101" s="45" t="s">
        <v>203</v>
      </c>
      <c r="F101" s="46" t="s">
        <v>2096</v>
      </c>
    </row>
    <row r="102" spans="1:6" ht="17">
      <c r="A102" s="15">
        <f t="shared" ca="1" si="2"/>
        <v>7</v>
      </c>
      <c r="B102" s="16">
        <f t="shared" ca="1" si="3"/>
        <v>0.99652164151609623</v>
      </c>
      <c r="C102" s="17">
        <f>IF(AND(問題解答データベース!D102&gt;=小テスト!$C$6,D102&lt;=小テスト!$E$6),1,0)</f>
        <v>1</v>
      </c>
      <c r="D102" s="44">
        <v>101</v>
      </c>
      <c r="E102" s="45" t="s">
        <v>204</v>
      </c>
      <c r="F102" s="46" t="s">
        <v>205</v>
      </c>
    </row>
    <row r="103" spans="1:6" ht="17">
      <c r="A103" s="15">
        <f t="shared" ca="1" si="2"/>
        <v>100</v>
      </c>
      <c r="B103" s="16">
        <f t="shared" ca="1" si="3"/>
        <v>0.95279088461450356</v>
      </c>
      <c r="C103" s="17">
        <f>IF(AND(問題解答データベース!D103&gt;=小テスト!$C$6,D103&lt;=小テスト!$E$6),1,0)</f>
        <v>1</v>
      </c>
      <c r="D103" s="44">
        <v>102</v>
      </c>
      <c r="E103" s="45" t="s">
        <v>206</v>
      </c>
      <c r="F103" s="46" t="s">
        <v>207</v>
      </c>
    </row>
    <row r="104" spans="1:6" ht="17">
      <c r="A104" s="15">
        <f t="shared" ca="1" si="2"/>
        <v>954</v>
      </c>
      <c r="B104" s="16">
        <f t="shared" ca="1" si="3"/>
        <v>0.49785054210839563</v>
      </c>
      <c r="C104" s="17">
        <f>IF(AND(問題解答データベース!D104&gt;=小テスト!$C$6,D104&lt;=小テスト!$E$6),1,0)</f>
        <v>1</v>
      </c>
      <c r="D104" s="44">
        <v>103</v>
      </c>
      <c r="E104" s="45" t="s">
        <v>208</v>
      </c>
      <c r="F104" s="46" t="s">
        <v>209</v>
      </c>
    </row>
    <row r="105" spans="1:6" ht="17">
      <c r="A105" s="15">
        <f t="shared" ca="1" si="2"/>
        <v>152</v>
      </c>
      <c r="B105" s="16">
        <f t="shared" ca="1" si="3"/>
        <v>0.92371497556129478</v>
      </c>
      <c r="C105" s="17">
        <f>IF(AND(問題解答データベース!D105&gt;=小テスト!$C$6,D105&lt;=小テスト!$E$6),1,0)</f>
        <v>1</v>
      </c>
      <c r="D105" s="44">
        <v>104</v>
      </c>
      <c r="E105" s="45" t="s">
        <v>67</v>
      </c>
      <c r="F105" s="46" t="s">
        <v>2097</v>
      </c>
    </row>
    <row r="106" spans="1:6" ht="17">
      <c r="A106" s="15">
        <f t="shared" ca="1" si="2"/>
        <v>589</v>
      </c>
      <c r="B106" s="16">
        <f t="shared" ca="1" si="3"/>
        <v>0.68907080500749396</v>
      </c>
      <c r="C106" s="17">
        <f>IF(AND(問題解答データベース!D106&gt;=小テスト!$C$6,D106&lt;=小テスト!$E$6),1,0)</f>
        <v>1</v>
      </c>
      <c r="D106" s="44">
        <v>105</v>
      </c>
      <c r="E106" s="45" t="s">
        <v>64</v>
      </c>
      <c r="F106" s="46" t="s">
        <v>210</v>
      </c>
    </row>
    <row r="107" spans="1:6" ht="17">
      <c r="A107" s="15">
        <f t="shared" ca="1" si="2"/>
        <v>185</v>
      </c>
      <c r="B107" s="16">
        <f t="shared" ca="1" si="3"/>
        <v>0.91075768548133085</v>
      </c>
      <c r="C107" s="17">
        <f>IF(AND(問題解答データベース!D107&gt;=小テスト!$C$6,D107&lt;=小テスト!$E$6),1,0)</f>
        <v>1</v>
      </c>
      <c r="D107" s="44">
        <v>106</v>
      </c>
      <c r="E107" s="45" t="s">
        <v>211</v>
      </c>
      <c r="F107" s="46" t="s">
        <v>212</v>
      </c>
    </row>
    <row r="108" spans="1:6" ht="17">
      <c r="A108" s="15">
        <f t="shared" ca="1" si="2"/>
        <v>927</v>
      </c>
      <c r="B108" s="16">
        <f t="shared" ca="1" si="3"/>
        <v>0.51124834619019333</v>
      </c>
      <c r="C108" s="17">
        <f>IF(AND(問題解答データベース!D108&gt;=小テスト!$C$6,D108&lt;=小テスト!$E$6),1,0)</f>
        <v>1</v>
      </c>
      <c r="D108" s="44">
        <v>107</v>
      </c>
      <c r="E108" s="45" t="s">
        <v>50</v>
      </c>
      <c r="F108" s="46" t="s">
        <v>213</v>
      </c>
    </row>
    <row r="109" spans="1:6" ht="17">
      <c r="A109" s="15">
        <f t="shared" ca="1" si="2"/>
        <v>794</v>
      </c>
      <c r="B109" s="16">
        <f t="shared" ca="1" si="3"/>
        <v>0.57902427769797749</v>
      </c>
      <c r="C109" s="17">
        <f>IF(AND(問題解答データベース!D109&gt;=小テスト!$C$6,D109&lt;=小テスト!$E$6),1,0)</f>
        <v>1</v>
      </c>
      <c r="D109" s="44">
        <v>108</v>
      </c>
      <c r="E109" s="45" t="s">
        <v>214</v>
      </c>
      <c r="F109" s="46" t="s">
        <v>215</v>
      </c>
    </row>
    <row r="110" spans="1:6" ht="17">
      <c r="A110" s="15">
        <f t="shared" ca="1" si="2"/>
        <v>219</v>
      </c>
      <c r="B110" s="16">
        <f t="shared" ca="1" si="3"/>
        <v>0.89156921604678985</v>
      </c>
      <c r="C110" s="17">
        <f>IF(AND(問題解答データベース!D110&gt;=小テスト!$C$6,D110&lt;=小テスト!$E$6),1,0)</f>
        <v>1</v>
      </c>
      <c r="D110" s="44">
        <v>109</v>
      </c>
      <c r="E110" s="45" t="s">
        <v>13</v>
      </c>
      <c r="F110" s="46" t="s">
        <v>2098</v>
      </c>
    </row>
    <row r="111" spans="1:6" ht="17">
      <c r="A111" s="15">
        <f t="shared" ca="1" si="2"/>
        <v>844</v>
      </c>
      <c r="B111" s="16">
        <f t="shared" ca="1" si="3"/>
        <v>0.550202754261645</v>
      </c>
      <c r="C111" s="17">
        <f>IF(AND(問題解答データベース!D111&gt;=小テスト!$C$6,D111&lt;=小テスト!$E$6),1,0)</f>
        <v>1</v>
      </c>
      <c r="D111" s="44">
        <v>110</v>
      </c>
      <c r="E111" s="45" t="s">
        <v>14</v>
      </c>
      <c r="F111" s="46" t="s">
        <v>216</v>
      </c>
    </row>
    <row r="112" spans="1:6" ht="17">
      <c r="A112" s="15">
        <f t="shared" ca="1" si="2"/>
        <v>781</v>
      </c>
      <c r="B112" s="16">
        <f t="shared" ca="1" si="3"/>
        <v>0.58672362472991657</v>
      </c>
      <c r="C112" s="17">
        <f>IF(AND(問題解答データベース!D112&gt;=小テスト!$C$6,D112&lt;=小テスト!$E$6),1,0)</f>
        <v>1</v>
      </c>
      <c r="D112" s="44">
        <v>111</v>
      </c>
      <c r="E112" s="45" t="s">
        <v>19</v>
      </c>
      <c r="F112" s="46" t="s">
        <v>217</v>
      </c>
    </row>
    <row r="113" spans="1:6" ht="17">
      <c r="A113" s="15">
        <f t="shared" ca="1" si="2"/>
        <v>841</v>
      </c>
      <c r="B113" s="16">
        <f t="shared" ca="1" si="3"/>
        <v>0.55218390249848981</v>
      </c>
      <c r="C113" s="17">
        <f>IF(AND(問題解答データベース!D113&gt;=小テスト!$C$6,D113&lt;=小テスト!$E$6),1,0)</f>
        <v>1</v>
      </c>
      <c r="D113" s="44">
        <v>112</v>
      </c>
      <c r="E113" s="45" t="s">
        <v>54</v>
      </c>
      <c r="F113" s="46" t="s">
        <v>218</v>
      </c>
    </row>
    <row r="114" spans="1:6" ht="17">
      <c r="A114" s="15">
        <f t="shared" ca="1" si="2"/>
        <v>1446</v>
      </c>
      <c r="B114" s="16">
        <f t="shared" ca="1" si="3"/>
        <v>0.23835410750105612</v>
      </c>
      <c r="C114" s="17">
        <f>IF(AND(問題解答データベース!D114&gt;=小テスト!$C$6,D114&lt;=小テスト!$E$6),1,0)</f>
        <v>1</v>
      </c>
      <c r="D114" s="44">
        <v>113</v>
      </c>
      <c r="E114" s="45" t="s">
        <v>219</v>
      </c>
      <c r="F114" s="46" t="s">
        <v>220</v>
      </c>
    </row>
    <row r="115" spans="1:6" ht="17">
      <c r="A115" s="15">
        <f t="shared" ca="1" si="2"/>
        <v>998</v>
      </c>
      <c r="B115" s="16">
        <f t="shared" ca="1" si="3"/>
        <v>0.47851315423795493</v>
      </c>
      <c r="C115" s="17">
        <f>IF(AND(問題解答データベース!D115&gt;=小テスト!$C$6,D115&lt;=小テスト!$E$6),1,0)</f>
        <v>1</v>
      </c>
      <c r="D115" s="44">
        <v>114</v>
      </c>
      <c r="E115" s="45" t="s">
        <v>221</v>
      </c>
      <c r="F115" s="46" t="s">
        <v>222</v>
      </c>
    </row>
    <row r="116" spans="1:6" ht="17">
      <c r="A116" s="15">
        <f t="shared" ca="1" si="2"/>
        <v>1467</v>
      </c>
      <c r="B116" s="16">
        <f t="shared" ca="1" si="3"/>
        <v>0.22379522973174526</v>
      </c>
      <c r="C116" s="17">
        <f>IF(AND(問題解答データベース!D116&gt;=小テスト!$C$6,D116&lt;=小テスト!$E$6),1,0)</f>
        <v>1</v>
      </c>
      <c r="D116" s="44">
        <v>115</v>
      </c>
      <c r="E116" s="45" t="s">
        <v>223</v>
      </c>
      <c r="F116" s="46" t="s">
        <v>224</v>
      </c>
    </row>
    <row r="117" spans="1:6" ht="17">
      <c r="A117" s="15">
        <f t="shared" ca="1" si="2"/>
        <v>1328</v>
      </c>
      <c r="B117" s="16">
        <f t="shared" ca="1" si="3"/>
        <v>0.3047935238668571</v>
      </c>
      <c r="C117" s="17">
        <f>IF(AND(問題解答データベース!D117&gt;=小テスト!$C$6,D117&lt;=小テスト!$E$6),1,0)</f>
        <v>1</v>
      </c>
      <c r="D117" s="44">
        <v>116</v>
      </c>
      <c r="E117" s="45" t="s">
        <v>225</v>
      </c>
      <c r="F117" s="46" t="s">
        <v>2099</v>
      </c>
    </row>
    <row r="118" spans="1:6" ht="17">
      <c r="A118" s="15">
        <f t="shared" ca="1" si="2"/>
        <v>1131</v>
      </c>
      <c r="B118" s="16">
        <f t="shared" ca="1" si="3"/>
        <v>0.40724441487473095</v>
      </c>
      <c r="C118" s="17">
        <f>IF(AND(問題解答データベース!D118&gt;=小テスト!$C$6,D118&lt;=小テスト!$E$6),1,0)</f>
        <v>1</v>
      </c>
      <c r="D118" s="44">
        <v>117</v>
      </c>
      <c r="E118" s="45" t="s">
        <v>226</v>
      </c>
      <c r="F118" s="46" t="s">
        <v>227</v>
      </c>
    </row>
    <row r="119" spans="1:6" ht="17">
      <c r="A119" s="15">
        <f t="shared" ca="1" si="2"/>
        <v>1022</v>
      </c>
      <c r="B119" s="16">
        <f t="shared" ca="1" si="3"/>
        <v>0.47034164666633338</v>
      </c>
      <c r="C119" s="17">
        <f>IF(AND(問題解答データベース!D119&gt;=小テスト!$C$6,D119&lt;=小テスト!$E$6),1,0)</f>
        <v>1</v>
      </c>
      <c r="D119" s="44">
        <v>118</v>
      </c>
      <c r="E119" s="45" t="s">
        <v>25</v>
      </c>
      <c r="F119" s="46" t="s">
        <v>228</v>
      </c>
    </row>
    <row r="120" spans="1:6" ht="17">
      <c r="A120" s="15">
        <f t="shared" ca="1" si="2"/>
        <v>590</v>
      </c>
      <c r="B120" s="16">
        <f t="shared" ca="1" si="3"/>
        <v>0.6890509991684256</v>
      </c>
      <c r="C120" s="17">
        <f>IF(AND(問題解答データベース!D120&gt;=小テスト!$C$6,D120&lt;=小テスト!$E$6),1,0)</f>
        <v>1</v>
      </c>
      <c r="D120" s="44">
        <v>119</v>
      </c>
      <c r="E120" s="45" t="s">
        <v>29</v>
      </c>
      <c r="F120" s="46" t="s">
        <v>229</v>
      </c>
    </row>
    <row r="121" spans="1:6" ht="17">
      <c r="A121" s="15">
        <f t="shared" ca="1" si="2"/>
        <v>1160</v>
      </c>
      <c r="B121" s="16">
        <f t="shared" ca="1" si="3"/>
        <v>0.38848908331818799</v>
      </c>
      <c r="C121" s="17">
        <f>IF(AND(問題解答データベース!D121&gt;=小テスト!$C$6,D121&lt;=小テスト!$E$6),1,0)</f>
        <v>1</v>
      </c>
      <c r="D121" s="44">
        <v>120</v>
      </c>
      <c r="E121" s="45" t="s">
        <v>230</v>
      </c>
      <c r="F121" s="46" t="s">
        <v>231</v>
      </c>
    </row>
    <row r="122" spans="1:6" ht="17">
      <c r="A122" s="15">
        <f t="shared" ca="1" si="2"/>
        <v>416</v>
      </c>
      <c r="B122" s="16">
        <f t="shared" ca="1" si="3"/>
        <v>0.78006530675921104</v>
      </c>
      <c r="C122" s="17">
        <f>IF(AND(問題解答データベース!D122&gt;=小テスト!$C$6,D122&lt;=小テスト!$E$6),1,0)</f>
        <v>1</v>
      </c>
      <c r="D122" s="44">
        <v>121</v>
      </c>
      <c r="E122" s="45" t="s">
        <v>232</v>
      </c>
      <c r="F122" s="46" t="s">
        <v>233</v>
      </c>
    </row>
    <row r="123" spans="1:6" ht="17">
      <c r="A123" s="15">
        <f t="shared" ca="1" si="2"/>
        <v>1599</v>
      </c>
      <c r="B123" s="16">
        <f t="shared" ca="1" si="3"/>
        <v>0.15656975465087963</v>
      </c>
      <c r="C123" s="17">
        <f>IF(AND(問題解答データベース!D123&gt;=小テスト!$C$6,D123&lt;=小テスト!$E$6),1,0)</f>
        <v>1</v>
      </c>
      <c r="D123" s="44">
        <v>122</v>
      </c>
      <c r="E123" s="45" t="s">
        <v>234</v>
      </c>
      <c r="F123" s="46" t="s">
        <v>235</v>
      </c>
    </row>
    <row r="124" spans="1:6" ht="17">
      <c r="A124" s="15">
        <f t="shared" ca="1" si="2"/>
        <v>1141</v>
      </c>
      <c r="B124" s="16">
        <f t="shared" ca="1" si="3"/>
        <v>0.40226335958124915</v>
      </c>
      <c r="C124" s="17">
        <f>IF(AND(問題解答データベース!D124&gt;=小テスト!$C$6,D124&lt;=小テスト!$E$6),1,0)</f>
        <v>1</v>
      </c>
      <c r="D124" s="44">
        <v>123</v>
      </c>
      <c r="E124" s="45" t="s">
        <v>236</v>
      </c>
      <c r="F124" s="46" t="s">
        <v>237</v>
      </c>
    </row>
    <row r="125" spans="1:6" ht="17">
      <c r="A125" s="15">
        <f t="shared" ca="1" si="2"/>
        <v>592</v>
      </c>
      <c r="B125" s="16">
        <f t="shared" ca="1" si="3"/>
        <v>0.68729931324399973</v>
      </c>
      <c r="C125" s="17">
        <f>IF(AND(問題解答データベース!D125&gt;=小テスト!$C$6,D125&lt;=小テスト!$E$6),1,0)</f>
        <v>1</v>
      </c>
      <c r="D125" s="44">
        <v>124</v>
      </c>
      <c r="E125" s="45" t="s">
        <v>238</v>
      </c>
      <c r="F125" s="46" t="s">
        <v>239</v>
      </c>
    </row>
    <row r="126" spans="1:6" ht="17">
      <c r="A126" s="15">
        <f t="shared" ca="1" si="2"/>
        <v>1604</v>
      </c>
      <c r="B126" s="16">
        <f t="shared" ca="1" si="3"/>
        <v>0.15407311963247194</v>
      </c>
      <c r="C126" s="17">
        <f>IF(AND(問題解答データベース!D126&gt;=小テスト!$C$6,D126&lt;=小テスト!$E$6),1,0)</f>
        <v>1</v>
      </c>
      <c r="D126" s="44">
        <v>125</v>
      </c>
      <c r="E126" s="45" t="s">
        <v>240</v>
      </c>
      <c r="F126" s="46" t="s">
        <v>241</v>
      </c>
    </row>
    <row r="127" spans="1:6" ht="17">
      <c r="A127" s="15">
        <f t="shared" ca="1" si="2"/>
        <v>1333</v>
      </c>
      <c r="B127" s="16">
        <f t="shared" ca="1" si="3"/>
        <v>0.29975451400133657</v>
      </c>
      <c r="C127" s="17">
        <f>IF(AND(問題解答データベース!D127&gt;=小テスト!$C$6,D127&lt;=小テスト!$E$6),1,0)</f>
        <v>1</v>
      </c>
      <c r="D127" s="44">
        <v>126</v>
      </c>
      <c r="E127" s="45" t="s">
        <v>242</v>
      </c>
      <c r="F127" s="46" t="s">
        <v>243</v>
      </c>
    </row>
    <row r="128" spans="1:6" ht="17">
      <c r="A128" s="15">
        <f t="shared" ca="1" si="2"/>
        <v>1580</v>
      </c>
      <c r="B128" s="16">
        <f t="shared" ca="1" si="3"/>
        <v>0.16571666948025365</v>
      </c>
      <c r="C128" s="17">
        <f>IF(AND(問題解答データベース!D128&gt;=小テスト!$C$6,D128&lt;=小テスト!$E$6),1,0)</f>
        <v>1</v>
      </c>
      <c r="D128" s="44">
        <v>127</v>
      </c>
      <c r="E128" s="45" t="s">
        <v>244</v>
      </c>
      <c r="F128" s="46" t="s">
        <v>2100</v>
      </c>
    </row>
    <row r="129" spans="1:6" ht="17">
      <c r="A129" s="15">
        <f t="shared" ca="1" si="2"/>
        <v>919</v>
      </c>
      <c r="B129" s="16">
        <f t="shared" ca="1" si="3"/>
        <v>0.51453940578130308</v>
      </c>
      <c r="C129" s="17">
        <f>IF(AND(問題解答データベース!D129&gt;=小テスト!$C$6,D129&lt;=小テスト!$E$6),1,0)</f>
        <v>1</v>
      </c>
      <c r="D129" s="44">
        <v>128</v>
      </c>
      <c r="E129" s="45" t="s">
        <v>245</v>
      </c>
      <c r="F129" s="46" t="s">
        <v>246</v>
      </c>
    </row>
    <row r="130" spans="1:6" ht="17">
      <c r="A130" s="15">
        <f t="shared" ca="1" si="2"/>
        <v>401</v>
      </c>
      <c r="B130" s="16">
        <f t="shared" ca="1" si="3"/>
        <v>0.78719036389909358</v>
      </c>
      <c r="C130" s="17">
        <f>IF(AND(問題解答データベース!D130&gt;=小テスト!$C$6,D130&lt;=小テスト!$E$6),1,0)</f>
        <v>1</v>
      </c>
      <c r="D130" s="44">
        <v>129</v>
      </c>
      <c r="E130" s="45" t="s">
        <v>18</v>
      </c>
      <c r="F130" s="46" t="s">
        <v>2101</v>
      </c>
    </row>
    <row r="131" spans="1:6" ht="17">
      <c r="A131" s="15">
        <f t="shared" ref="A131:A194" ca="1" si="4">RANK(B131,$B$2:$B$1901,0)</f>
        <v>1200</v>
      </c>
      <c r="B131" s="16">
        <f t="shared" ref="B131:B194" ca="1" si="5">IF(C131=1,RAND(),0)</f>
        <v>0.36754382992455548</v>
      </c>
      <c r="C131" s="17">
        <f>IF(AND(問題解答データベース!D131&gt;=小テスト!$C$6,D131&lt;=小テスト!$E$6),1,0)</f>
        <v>1</v>
      </c>
      <c r="D131" s="44">
        <v>130</v>
      </c>
      <c r="E131" s="45" t="s">
        <v>58</v>
      </c>
      <c r="F131" s="46" t="s">
        <v>247</v>
      </c>
    </row>
    <row r="132" spans="1:6" ht="17">
      <c r="A132" s="15">
        <f t="shared" ca="1" si="4"/>
        <v>246</v>
      </c>
      <c r="B132" s="16">
        <f t="shared" ca="1" si="5"/>
        <v>0.87259527953571059</v>
      </c>
      <c r="C132" s="17">
        <f>IF(AND(問題解答データベース!D132&gt;=小テスト!$C$6,D132&lt;=小テスト!$E$6),1,0)</f>
        <v>1</v>
      </c>
      <c r="D132" s="44">
        <v>131</v>
      </c>
      <c r="E132" s="45" t="s">
        <v>248</v>
      </c>
      <c r="F132" s="46" t="s">
        <v>249</v>
      </c>
    </row>
    <row r="133" spans="1:6" ht="17">
      <c r="A133" s="15">
        <f t="shared" ca="1" si="4"/>
        <v>569</v>
      </c>
      <c r="B133" s="16">
        <f t="shared" ca="1" si="5"/>
        <v>0.70404718007699907</v>
      </c>
      <c r="C133" s="17">
        <f>IF(AND(問題解答データベース!D133&gt;=小テスト!$C$6,D133&lt;=小テスト!$E$6),1,0)</f>
        <v>1</v>
      </c>
      <c r="D133" s="44">
        <v>132</v>
      </c>
      <c r="E133" s="45" t="s">
        <v>250</v>
      </c>
      <c r="F133" s="46" t="s">
        <v>251</v>
      </c>
    </row>
    <row r="134" spans="1:6" ht="17">
      <c r="A134" s="15">
        <f t="shared" ca="1" si="4"/>
        <v>846</v>
      </c>
      <c r="B134" s="16">
        <f t="shared" ca="1" si="5"/>
        <v>0.54980236553382233</v>
      </c>
      <c r="C134" s="17">
        <f>IF(AND(問題解答データベース!D134&gt;=小テスト!$C$6,D134&lt;=小テスト!$E$6),1,0)</f>
        <v>1</v>
      </c>
      <c r="D134" s="44">
        <v>133</v>
      </c>
      <c r="E134" s="45" t="s">
        <v>252</v>
      </c>
      <c r="F134" s="46" t="s">
        <v>253</v>
      </c>
    </row>
    <row r="135" spans="1:6" ht="17">
      <c r="A135" s="15">
        <f t="shared" ca="1" si="4"/>
        <v>1041</v>
      </c>
      <c r="B135" s="16">
        <f t="shared" ca="1" si="5"/>
        <v>0.46015346710591998</v>
      </c>
      <c r="C135" s="17">
        <f>IF(AND(問題解答データベース!D135&gt;=小テスト!$C$6,D135&lt;=小テスト!$E$6),1,0)</f>
        <v>1</v>
      </c>
      <c r="D135" s="44">
        <v>134</v>
      </c>
      <c r="E135" s="45" t="s">
        <v>254</v>
      </c>
      <c r="F135" s="46" t="s">
        <v>255</v>
      </c>
    </row>
    <row r="136" spans="1:6" ht="17">
      <c r="A136" s="15">
        <f t="shared" ca="1" si="4"/>
        <v>1528</v>
      </c>
      <c r="B136" s="16">
        <f t="shared" ca="1" si="5"/>
        <v>0.18765942090381083</v>
      </c>
      <c r="C136" s="17">
        <f>IF(AND(問題解答データベース!D136&gt;=小テスト!$C$6,D136&lt;=小テスト!$E$6),1,0)</f>
        <v>1</v>
      </c>
      <c r="D136" s="44">
        <v>135</v>
      </c>
      <c r="E136" s="45" t="s">
        <v>256</v>
      </c>
      <c r="F136" s="46" t="s">
        <v>257</v>
      </c>
    </row>
    <row r="137" spans="1:6" ht="17">
      <c r="A137" s="15">
        <f t="shared" ca="1" si="4"/>
        <v>779</v>
      </c>
      <c r="B137" s="16">
        <f t="shared" ca="1" si="5"/>
        <v>0.58875184151860482</v>
      </c>
      <c r="C137" s="17">
        <f>IF(AND(問題解答データベース!D137&gt;=小テスト!$C$6,D137&lt;=小テスト!$E$6),1,0)</f>
        <v>1</v>
      </c>
      <c r="D137" s="44">
        <v>136</v>
      </c>
      <c r="E137" s="45" t="s">
        <v>258</v>
      </c>
      <c r="F137" s="46" t="s">
        <v>259</v>
      </c>
    </row>
    <row r="138" spans="1:6" ht="17">
      <c r="A138" s="15">
        <f t="shared" ca="1" si="4"/>
        <v>1062</v>
      </c>
      <c r="B138" s="16">
        <f t="shared" ca="1" si="5"/>
        <v>0.44845136344329206</v>
      </c>
      <c r="C138" s="17">
        <f>IF(AND(問題解答データベース!D138&gt;=小テスト!$C$6,D138&lt;=小テスト!$E$6),1,0)</f>
        <v>1</v>
      </c>
      <c r="D138" s="44">
        <v>137</v>
      </c>
      <c r="E138" s="45" t="s">
        <v>53</v>
      </c>
      <c r="F138" s="46" t="s">
        <v>260</v>
      </c>
    </row>
    <row r="139" spans="1:6" ht="17">
      <c r="A139" s="15">
        <f t="shared" ca="1" si="4"/>
        <v>1842</v>
      </c>
      <c r="B139" s="16">
        <f t="shared" ca="1" si="5"/>
        <v>2.9219256740431909E-2</v>
      </c>
      <c r="C139" s="17">
        <f>IF(AND(問題解答データベース!D139&gt;=小テスト!$C$6,D139&lt;=小テスト!$E$6),1,0)</f>
        <v>1</v>
      </c>
      <c r="D139" s="44">
        <v>138</v>
      </c>
      <c r="E139" s="45" t="s">
        <v>33</v>
      </c>
      <c r="F139" s="46" t="s">
        <v>261</v>
      </c>
    </row>
    <row r="140" spans="1:6" ht="17">
      <c r="A140" s="15">
        <f t="shared" ca="1" si="4"/>
        <v>932</v>
      </c>
      <c r="B140" s="16">
        <f t="shared" ca="1" si="5"/>
        <v>0.51003474083358491</v>
      </c>
      <c r="C140" s="17">
        <f>IF(AND(問題解答データベース!D140&gt;=小テスト!$C$6,D140&lt;=小テスト!$E$6),1,0)</f>
        <v>1</v>
      </c>
      <c r="D140" s="44">
        <v>139</v>
      </c>
      <c r="E140" s="45" t="s">
        <v>56</v>
      </c>
      <c r="F140" s="46" t="s">
        <v>262</v>
      </c>
    </row>
    <row r="141" spans="1:6" ht="17">
      <c r="A141" s="15">
        <f t="shared" ca="1" si="4"/>
        <v>950</v>
      </c>
      <c r="B141" s="16">
        <f t="shared" ca="1" si="5"/>
        <v>0.49932471448601368</v>
      </c>
      <c r="C141" s="17">
        <f>IF(AND(問題解答データベース!D141&gt;=小テスト!$C$6,D141&lt;=小テスト!$E$6),1,0)</f>
        <v>1</v>
      </c>
      <c r="D141" s="44">
        <v>140</v>
      </c>
      <c r="E141" s="45" t="s">
        <v>263</v>
      </c>
      <c r="F141" s="46" t="s">
        <v>264</v>
      </c>
    </row>
    <row r="142" spans="1:6" ht="17">
      <c r="A142" s="15">
        <f t="shared" ca="1" si="4"/>
        <v>1260</v>
      </c>
      <c r="B142" s="16">
        <f t="shared" ca="1" si="5"/>
        <v>0.34443596073362459</v>
      </c>
      <c r="C142" s="17">
        <f>IF(AND(問題解答データベース!D142&gt;=小テスト!$C$6,D142&lt;=小テスト!$E$6),1,0)</f>
        <v>1</v>
      </c>
      <c r="D142" s="44">
        <v>141</v>
      </c>
      <c r="E142" s="45" t="s">
        <v>265</v>
      </c>
      <c r="F142" s="46" t="s">
        <v>2102</v>
      </c>
    </row>
    <row r="143" spans="1:6" ht="17">
      <c r="A143" s="15">
        <f t="shared" ca="1" si="4"/>
        <v>1137</v>
      </c>
      <c r="B143" s="16">
        <f t="shared" ca="1" si="5"/>
        <v>0.40461251626536909</v>
      </c>
      <c r="C143" s="17">
        <f>IF(AND(問題解答データベース!D143&gt;=小テスト!$C$6,D143&lt;=小テスト!$E$6),1,0)</f>
        <v>1</v>
      </c>
      <c r="D143" s="44">
        <v>142</v>
      </c>
      <c r="E143" s="45" t="s">
        <v>45</v>
      </c>
      <c r="F143" s="46" t="s">
        <v>266</v>
      </c>
    </row>
    <row r="144" spans="1:6" ht="17">
      <c r="A144" s="15">
        <f t="shared" ca="1" si="4"/>
        <v>821</v>
      </c>
      <c r="B144" s="16">
        <f t="shared" ca="1" si="5"/>
        <v>0.5635838579412723</v>
      </c>
      <c r="C144" s="17">
        <f>IF(AND(問題解答データベース!D144&gt;=小テスト!$C$6,D144&lt;=小テスト!$E$6),1,0)</f>
        <v>1</v>
      </c>
      <c r="D144" s="44">
        <v>143</v>
      </c>
      <c r="E144" s="45" t="s">
        <v>267</v>
      </c>
      <c r="F144" s="46" t="s">
        <v>2103</v>
      </c>
    </row>
    <row r="145" spans="1:6" ht="17">
      <c r="A145" s="15">
        <f t="shared" ca="1" si="4"/>
        <v>513</v>
      </c>
      <c r="B145" s="16">
        <f t="shared" ca="1" si="5"/>
        <v>0.73573329762616546</v>
      </c>
      <c r="C145" s="17">
        <f>IF(AND(問題解答データベース!D145&gt;=小テスト!$C$6,D145&lt;=小テスト!$E$6),1,0)</f>
        <v>1</v>
      </c>
      <c r="D145" s="44">
        <v>144</v>
      </c>
      <c r="E145" s="45" t="s">
        <v>268</v>
      </c>
      <c r="F145" s="46" t="s">
        <v>269</v>
      </c>
    </row>
    <row r="146" spans="1:6" ht="17">
      <c r="A146" s="15">
        <f t="shared" ca="1" si="4"/>
        <v>638</v>
      </c>
      <c r="B146" s="16">
        <f t="shared" ca="1" si="5"/>
        <v>0.66226129479478024</v>
      </c>
      <c r="C146" s="17">
        <f>IF(AND(問題解答データベース!D146&gt;=小テスト!$C$6,D146&lt;=小テスト!$E$6),1,0)</f>
        <v>1</v>
      </c>
      <c r="D146" s="44">
        <v>145</v>
      </c>
      <c r="E146" s="45" t="s">
        <v>43</v>
      </c>
      <c r="F146" s="46" t="s">
        <v>270</v>
      </c>
    </row>
    <row r="147" spans="1:6" ht="17">
      <c r="A147" s="15">
        <f t="shared" ca="1" si="4"/>
        <v>485</v>
      </c>
      <c r="B147" s="16">
        <f t="shared" ca="1" si="5"/>
        <v>0.75114157542227966</v>
      </c>
      <c r="C147" s="17">
        <f>IF(AND(問題解答データベース!D147&gt;=小テスト!$C$6,D147&lt;=小テスト!$E$6),1,0)</f>
        <v>1</v>
      </c>
      <c r="D147" s="44">
        <v>146</v>
      </c>
      <c r="E147" s="45" t="s">
        <v>271</v>
      </c>
      <c r="F147" s="46" t="s">
        <v>272</v>
      </c>
    </row>
    <row r="148" spans="1:6" ht="17">
      <c r="A148" s="15">
        <f t="shared" ca="1" si="4"/>
        <v>57</v>
      </c>
      <c r="B148" s="16">
        <f t="shared" ca="1" si="5"/>
        <v>0.97027434068865992</v>
      </c>
      <c r="C148" s="17">
        <f>IF(AND(問題解答データベース!D148&gt;=小テスト!$C$6,D148&lt;=小テスト!$E$6),1,0)</f>
        <v>1</v>
      </c>
      <c r="D148" s="44">
        <v>147</v>
      </c>
      <c r="E148" s="45" t="s">
        <v>273</v>
      </c>
      <c r="F148" s="46" t="s">
        <v>274</v>
      </c>
    </row>
    <row r="149" spans="1:6" ht="17">
      <c r="A149" s="15">
        <f t="shared" ca="1" si="4"/>
        <v>1728</v>
      </c>
      <c r="B149" s="16">
        <f t="shared" ca="1" si="5"/>
        <v>8.5209933061655252E-2</v>
      </c>
      <c r="C149" s="17">
        <f>IF(AND(問題解答データベース!D149&gt;=小テスト!$C$6,D149&lt;=小テスト!$E$6),1,0)</f>
        <v>1</v>
      </c>
      <c r="D149" s="44">
        <v>148</v>
      </c>
      <c r="E149" s="45" t="s">
        <v>42</v>
      </c>
      <c r="F149" s="46" t="s">
        <v>275</v>
      </c>
    </row>
    <row r="150" spans="1:6" ht="17">
      <c r="A150" s="15">
        <f t="shared" ca="1" si="4"/>
        <v>1635</v>
      </c>
      <c r="B150" s="16">
        <f t="shared" ca="1" si="5"/>
        <v>0.1353051217799166</v>
      </c>
      <c r="C150" s="17">
        <f>IF(AND(問題解答データベース!D150&gt;=小テスト!$C$6,D150&lt;=小テスト!$E$6),1,0)</f>
        <v>1</v>
      </c>
      <c r="D150" s="44">
        <v>149</v>
      </c>
      <c r="E150" s="45" t="s">
        <v>276</v>
      </c>
      <c r="F150" s="46" t="s">
        <v>277</v>
      </c>
    </row>
    <row r="151" spans="1:6" ht="17">
      <c r="A151" s="15">
        <f t="shared" ca="1" si="4"/>
        <v>86</v>
      </c>
      <c r="B151" s="16">
        <f t="shared" ca="1" si="5"/>
        <v>0.95901558422969058</v>
      </c>
      <c r="C151" s="17">
        <f>IF(AND(問題解答データベース!D151&gt;=小テスト!$C$6,D151&lt;=小テスト!$E$6),1,0)</f>
        <v>1</v>
      </c>
      <c r="D151" s="44">
        <v>150</v>
      </c>
      <c r="E151" s="45" t="s">
        <v>278</v>
      </c>
      <c r="F151" s="46" t="s">
        <v>279</v>
      </c>
    </row>
    <row r="152" spans="1:6" ht="17">
      <c r="A152" s="15">
        <f t="shared" ca="1" si="4"/>
        <v>1164</v>
      </c>
      <c r="B152" s="16">
        <f t="shared" ca="1" si="5"/>
        <v>0.3861710903334219</v>
      </c>
      <c r="C152" s="17">
        <f>IF(AND(問題解答データベース!D152&gt;=小テスト!$C$6,D152&lt;=小テスト!$E$6),1,0)</f>
        <v>1</v>
      </c>
      <c r="D152" s="44">
        <v>151</v>
      </c>
      <c r="E152" s="45" t="s">
        <v>280</v>
      </c>
      <c r="F152" s="46" t="s">
        <v>281</v>
      </c>
    </row>
    <row r="153" spans="1:6" ht="17">
      <c r="A153" s="15">
        <f t="shared" ca="1" si="4"/>
        <v>1342</v>
      </c>
      <c r="B153" s="16">
        <f t="shared" ca="1" si="5"/>
        <v>0.29638225010583352</v>
      </c>
      <c r="C153" s="17">
        <f>IF(AND(問題解答データベース!D153&gt;=小テスト!$C$6,D153&lt;=小テスト!$E$6),1,0)</f>
        <v>1</v>
      </c>
      <c r="D153" s="44">
        <v>152</v>
      </c>
      <c r="E153" s="45" t="s">
        <v>282</v>
      </c>
      <c r="F153" s="46" t="s">
        <v>283</v>
      </c>
    </row>
    <row r="154" spans="1:6" ht="17">
      <c r="A154" s="15">
        <f t="shared" ca="1" si="4"/>
        <v>1081</v>
      </c>
      <c r="B154" s="16">
        <f t="shared" ca="1" si="5"/>
        <v>0.43412486861964561</v>
      </c>
      <c r="C154" s="17">
        <f>IF(AND(問題解答データベース!D154&gt;=小テスト!$C$6,D154&lt;=小テスト!$E$6),1,0)</f>
        <v>1</v>
      </c>
      <c r="D154" s="44">
        <v>153</v>
      </c>
      <c r="E154" s="45" t="s">
        <v>284</v>
      </c>
      <c r="F154" s="46" t="s">
        <v>285</v>
      </c>
    </row>
    <row r="155" spans="1:6" ht="17">
      <c r="A155" s="15">
        <f t="shared" ca="1" si="4"/>
        <v>1591</v>
      </c>
      <c r="B155" s="16">
        <f t="shared" ca="1" si="5"/>
        <v>0.15997229550791203</v>
      </c>
      <c r="C155" s="17">
        <f>IF(AND(問題解答データベース!D155&gt;=小テスト!$C$6,D155&lt;=小テスト!$E$6),1,0)</f>
        <v>1</v>
      </c>
      <c r="D155" s="44">
        <v>154</v>
      </c>
      <c r="E155" s="45" t="s">
        <v>32</v>
      </c>
      <c r="F155" s="46" t="s">
        <v>286</v>
      </c>
    </row>
    <row r="156" spans="1:6" ht="17">
      <c r="A156" s="15">
        <f t="shared" ca="1" si="4"/>
        <v>354</v>
      </c>
      <c r="B156" s="16">
        <f t="shared" ca="1" si="5"/>
        <v>0.81013610134821346</v>
      </c>
      <c r="C156" s="17">
        <f>IF(AND(問題解答データベース!D156&gt;=小テスト!$C$6,D156&lt;=小テスト!$E$6),1,0)</f>
        <v>1</v>
      </c>
      <c r="D156" s="44">
        <v>155</v>
      </c>
      <c r="E156" s="45" t="s">
        <v>287</v>
      </c>
      <c r="F156" s="45" t="s">
        <v>2104</v>
      </c>
    </row>
    <row r="157" spans="1:6" ht="17">
      <c r="A157" s="15">
        <f t="shared" ca="1" si="4"/>
        <v>203</v>
      </c>
      <c r="B157" s="16">
        <f t="shared" ca="1" si="5"/>
        <v>0.90094184803434618</v>
      </c>
      <c r="C157" s="17">
        <f>IF(AND(問題解答データベース!D157&gt;=小テスト!$C$6,D157&lt;=小テスト!$E$6),1,0)</f>
        <v>1</v>
      </c>
      <c r="D157" s="44">
        <v>156</v>
      </c>
      <c r="E157" s="45" t="s">
        <v>288</v>
      </c>
      <c r="F157" s="46" t="s">
        <v>289</v>
      </c>
    </row>
    <row r="158" spans="1:6" ht="17">
      <c r="A158" s="15">
        <f t="shared" ca="1" si="4"/>
        <v>313</v>
      </c>
      <c r="B158" s="16">
        <f t="shared" ca="1" si="5"/>
        <v>0.83333228460806641</v>
      </c>
      <c r="C158" s="17">
        <f>IF(AND(問題解答データベース!D158&gt;=小テスト!$C$6,D158&lt;=小テスト!$E$6),1,0)</f>
        <v>1</v>
      </c>
      <c r="D158" s="44">
        <v>157</v>
      </c>
      <c r="E158" s="45" t="s">
        <v>290</v>
      </c>
      <c r="F158" s="46" t="s">
        <v>291</v>
      </c>
    </row>
    <row r="159" spans="1:6" ht="17">
      <c r="A159" s="15">
        <f t="shared" ca="1" si="4"/>
        <v>12</v>
      </c>
      <c r="B159" s="16">
        <f t="shared" ca="1" si="5"/>
        <v>0.9949275604993294</v>
      </c>
      <c r="C159" s="17">
        <f>IF(AND(問題解答データベース!D159&gt;=小テスト!$C$6,D159&lt;=小テスト!$E$6),1,0)</f>
        <v>1</v>
      </c>
      <c r="D159" s="44">
        <v>158</v>
      </c>
      <c r="E159" s="45" t="s">
        <v>292</v>
      </c>
      <c r="F159" s="46" t="s">
        <v>293</v>
      </c>
    </row>
    <row r="160" spans="1:6" ht="17">
      <c r="A160" s="15">
        <f t="shared" ca="1" si="4"/>
        <v>1734</v>
      </c>
      <c r="B160" s="16">
        <f t="shared" ca="1" si="5"/>
        <v>8.1723983219636365E-2</v>
      </c>
      <c r="C160" s="17">
        <f>IF(AND(問題解答データベース!D160&gt;=小テスト!$C$6,D160&lt;=小テスト!$E$6),1,0)</f>
        <v>1</v>
      </c>
      <c r="D160" s="44">
        <v>159</v>
      </c>
      <c r="E160" s="45" t="s">
        <v>294</v>
      </c>
      <c r="F160" s="46" t="s">
        <v>295</v>
      </c>
    </row>
    <row r="161" spans="1:6" ht="17">
      <c r="A161" s="15">
        <f t="shared" ca="1" si="4"/>
        <v>903</v>
      </c>
      <c r="B161" s="16">
        <f t="shared" ca="1" si="5"/>
        <v>0.52159792921194581</v>
      </c>
      <c r="C161" s="17">
        <f>IF(AND(問題解答データベース!D161&gt;=小テスト!$C$6,D161&lt;=小テスト!$E$6),1,0)</f>
        <v>1</v>
      </c>
      <c r="D161" s="44">
        <v>160</v>
      </c>
      <c r="E161" s="45" t="s">
        <v>46</v>
      </c>
      <c r="F161" s="46" t="s">
        <v>2105</v>
      </c>
    </row>
    <row r="162" spans="1:6" ht="17">
      <c r="A162" s="15">
        <f t="shared" ca="1" si="4"/>
        <v>59</v>
      </c>
      <c r="B162" s="16">
        <f t="shared" ca="1" si="5"/>
        <v>0.96817907119534308</v>
      </c>
      <c r="C162" s="17">
        <f>IF(AND(問題解答データベース!D162&gt;=小テスト!$C$6,D162&lt;=小テスト!$E$6),1,0)</f>
        <v>1</v>
      </c>
      <c r="D162" s="44">
        <v>161</v>
      </c>
      <c r="E162" s="45" t="s">
        <v>296</v>
      </c>
      <c r="F162" s="46" t="s">
        <v>297</v>
      </c>
    </row>
    <row r="163" spans="1:6" ht="17">
      <c r="A163" s="15">
        <f t="shared" ca="1" si="4"/>
        <v>1821</v>
      </c>
      <c r="B163" s="16">
        <f t="shared" ca="1" si="5"/>
        <v>3.8987741281649058E-2</v>
      </c>
      <c r="C163" s="17">
        <f>IF(AND(問題解答データベース!D163&gt;=小テスト!$C$6,D163&lt;=小テスト!$E$6),1,0)</f>
        <v>1</v>
      </c>
      <c r="D163" s="44">
        <v>162</v>
      </c>
      <c r="E163" s="45" t="s">
        <v>298</v>
      </c>
      <c r="F163" s="46" t="s">
        <v>299</v>
      </c>
    </row>
    <row r="164" spans="1:6" ht="17">
      <c r="A164" s="15">
        <f t="shared" ca="1" si="4"/>
        <v>1632</v>
      </c>
      <c r="B164" s="16">
        <f t="shared" ca="1" si="5"/>
        <v>0.13920903523212846</v>
      </c>
      <c r="C164" s="17">
        <f>IF(AND(問題解答データベース!D164&gt;=小テスト!$C$6,D164&lt;=小テスト!$E$6),1,0)</f>
        <v>1</v>
      </c>
      <c r="D164" s="44">
        <v>163</v>
      </c>
      <c r="E164" s="45" t="s">
        <v>300</v>
      </c>
      <c r="F164" s="46" t="s">
        <v>2106</v>
      </c>
    </row>
    <row r="165" spans="1:6" ht="17">
      <c r="A165" s="15">
        <f t="shared" ca="1" si="4"/>
        <v>1447</v>
      </c>
      <c r="B165" s="16">
        <f t="shared" ca="1" si="5"/>
        <v>0.23771725839380597</v>
      </c>
      <c r="C165" s="17">
        <f>IF(AND(問題解答データベース!D165&gt;=小テスト!$C$6,D165&lt;=小テスト!$E$6),1,0)</f>
        <v>1</v>
      </c>
      <c r="D165" s="44">
        <v>164</v>
      </c>
      <c r="E165" s="45" t="s">
        <v>301</v>
      </c>
      <c r="F165" s="46" t="s">
        <v>302</v>
      </c>
    </row>
    <row r="166" spans="1:6" ht="17">
      <c r="A166" s="15">
        <f t="shared" ca="1" si="4"/>
        <v>78</v>
      </c>
      <c r="B166" s="16">
        <f t="shared" ca="1" si="5"/>
        <v>0.96360926568740879</v>
      </c>
      <c r="C166" s="17">
        <f>IF(AND(問題解答データベース!D166&gt;=小テスト!$C$6,D166&lt;=小テスト!$E$6),1,0)</f>
        <v>1</v>
      </c>
      <c r="D166" s="44">
        <v>165</v>
      </c>
      <c r="E166" s="45" t="s">
        <v>30</v>
      </c>
      <c r="F166" s="46" t="s">
        <v>303</v>
      </c>
    </row>
    <row r="167" spans="1:6" ht="17">
      <c r="A167" s="15">
        <f t="shared" ca="1" si="4"/>
        <v>256</v>
      </c>
      <c r="B167" s="16">
        <f t="shared" ca="1" si="5"/>
        <v>0.86639335528171957</v>
      </c>
      <c r="C167" s="17">
        <f>IF(AND(問題解答データベース!D167&gt;=小テスト!$C$6,D167&lt;=小テスト!$E$6),1,0)</f>
        <v>1</v>
      </c>
      <c r="D167" s="44">
        <v>166</v>
      </c>
      <c r="E167" s="45" t="s">
        <v>304</v>
      </c>
      <c r="F167" s="46" t="s">
        <v>2107</v>
      </c>
    </row>
    <row r="168" spans="1:6" ht="17">
      <c r="A168" s="15">
        <f t="shared" ca="1" si="4"/>
        <v>956</v>
      </c>
      <c r="B168" s="16">
        <f t="shared" ca="1" si="5"/>
        <v>0.49600321068734565</v>
      </c>
      <c r="C168" s="17">
        <f>IF(AND(問題解答データベース!D168&gt;=小テスト!$C$6,D168&lt;=小テスト!$E$6),1,0)</f>
        <v>1</v>
      </c>
      <c r="D168" s="44">
        <v>167</v>
      </c>
      <c r="E168" s="45" t="s">
        <v>305</v>
      </c>
      <c r="F168" s="46" t="s">
        <v>2108</v>
      </c>
    </row>
    <row r="169" spans="1:6" ht="17">
      <c r="A169" s="15">
        <f t="shared" ca="1" si="4"/>
        <v>18</v>
      </c>
      <c r="B169" s="16">
        <f t="shared" ca="1" si="5"/>
        <v>0.99318036537867516</v>
      </c>
      <c r="C169" s="17">
        <f>IF(AND(問題解答データベース!D169&gt;=小テスト!$C$6,D169&lt;=小テスト!$E$6),1,0)</f>
        <v>1</v>
      </c>
      <c r="D169" s="44">
        <v>168</v>
      </c>
      <c r="E169" s="45" t="s">
        <v>306</v>
      </c>
      <c r="F169" s="46" t="s">
        <v>307</v>
      </c>
    </row>
    <row r="170" spans="1:6" ht="17">
      <c r="A170" s="15">
        <f t="shared" ca="1" si="4"/>
        <v>1615</v>
      </c>
      <c r="B170" s="16">
        <f t="shared" ca="1" si="5"/>
        <v>0.150435427405885</v>
      </c>
      <c r="C170" s="17">
        <f>IF(AND(問題解答データベース!D170&gt;=小テスト!$C$6,D170&lt;=小テスト!$E$6),1,0)</f>
        <v>1</v>
      </c>
      <c r="D170" s="44">
        <v>169</v>
      </c>
      <c r="E170" s="45" t="s">
        <v>308</v>
      </c>
      <c r="F170" s="46" t="s">
        <v>309</v>
      </c>
    </row>
    <row r="171" spans="1:6" ht="17">
      <c r="A171" s="15">
        <f t="shared" ca="1" si="4"/>
        <v>955</v>
      </c>
      <c r="B171" s="16">
        <f t="shared" ca="1" si="5"/>
        <v>0.49715081499419878</v>
      </c>
      <c r="C171" s="17">
        <f>IF(AND(問題解答データベース!D171&gt;=小テスト!$C$6,D171&lt;=小テスト!$E$6),1,0)</f>
        <v>1</v>
      </c>
      <c r="D171" s="44">
        <v>170</v>
      </c>
      <c r="E171" s="45" t="s">
        <v>310</v>
      </c>
      <c r="F171" s="46" t="s">
        <v>311</v>
      </c>
    </row>
    <row r="172" spans="1:6" ht="17">
      <c r="A172" s="15">
        <f t="shared" ca="1" si="4"/>
        <v>1847</v>
      </c>
      <c r="B172" s="16">
        <f t="shared" ca="1" si="5"/>
        <v>2.6848041312189874E-2</v>
      </c>
      <c r="C172" s="17">
        <f>IF(AND(問題解答データベース!D172&gt;=小テスト!$C$6,D172&lt;=小テスト!$E$6),1,0)</f>
        <v>1</v>
      </c>
      <c r="D172" s="44">
        <v>171</v>
      </c>
      <c r="E172" s="45" t="s">
        <v>312</v>
      </c>
      <c r="F172" s="46" t="s">
        <v>313</v>
      </c>
    </row>
    <row r="173" spans="1:6" ht="17">
      <c r="A173" s="15">
        <f t="shared" ca="1" si="4"/>
        <v>1568</v>
      </c>
      <c r="B173" s="16">
        <f t="shared" ca="1" si="5"/>
        <v>0.16895852741999451</v>
      </c>
      <c r="C173" s="17">
        <f>IF(AND(問題解答データベース!D173&gt;=小テスト!$C$6,D173&lt;=小テスト!$E$6),1,0)</f>
        <v>1</v>
      </c>
      <c r="D173" s="44">
        <v>172</v>
      </c>
      <c r="E173" s="45" t="s">
        <v>314</v>
      </c>
      <c r="F173" s="46" t="s">
        <v>315</v>
      </c>
    </row>
    <row r="174" spans="1:6" ht="17">
      <c r="A174" s="15">
        <f t="shared" ca="1" si="4"/>
        <v>1694</v>
      </c>
      <c r="B174" s="16">
        <f t="shared" ca="1" si="5"/>
        <v>0.10366045173646887</v>
      </c>
      <c r="C174" s="17">
        <f>IF(AND(問題解答データベース!D174&gt;=小テスト!$C$6,D174&lt;=小テスト!$E$6),1,0)</f>
        <v>1</v>
      </c>
      <c r="D174" s="44">
        <v>173</v>
      </c>
      <c r="E174" s="45" t="s">
        <v>316</v>
      </c>
      <c r="F174" s="46" t="s">
        <v>317</v>
      </c>
    </row>
    <row r="175" spans="1:6" ht="17">
      <c r="A175" s="15">
        <f t="shared" ca="1" si="4"/>
        <v>586</v>
      </c>
      <c r="B175" s="16">
        <f t="shared" ca="1" si="5"/>
        <v>0.69076706611604988</v>
      </c>
      <c r="C175" s="17">
        <f>IF(AND(問題解答データベース!D175&gt;=小テスト!$C$6,D175&lt;=小テスト!$E$6),1,0)</f>
        <v>1</v>
      </c>
      <c r="D175" s="44">
        <v>174</v>
      </c>
      <c r="E175" s="45" t="s">
        <v>318</v>
      </c>
      <c r="F175" s="46" t="s">
        <v>319</v>
      </c>
    </row>
    <row r="176" spans="1:6" ht="17">
      <c r="A176" s="15">
        <f t="shared" ca="1" si="4"/>
        <v>1121</v>
      </c>
      <c r="B176" s="16">
        <f t="shared" ca="1" si="5"/>
        <v>0.41440536489886304</v>
      </c>
      <c r="C176" s="17">
        <f>IF(AND(問題解答データベース!D176&gt;=小テスト!$C$6,D176&lt;=小テスト!$E$6),1,0)</f>
        <v>1</v>
      </c>
      <c r="D176" s="44">
        <v>175</v>
      </c>
      <c r="E176" s="45" t="s">
        <v>320</v>
      </c>
      <c r="F176" s="46" t="s">
        <v>321</v>
      </c>
    </row>
    <row r="177" spans="1:6" ht="17">
      <c r="A177" s="15">
        <f t="shared" ca="1" si="4"/>
        <v>146</v>
      </c>
      <c r="B177" s="16">
        <f t="shared" ca="1" si="5"/>
        <v>0.92890489331802895</v>
      </c>
      <c r="C177" s="17">
        <f>IF(AND(問題解答データベース!D177&gt;=小テスト!$C$6,D177&lt;=小テスト!$E$6),1,0)</f>
        <v>1</v>
      </c>
      <c r="D177" s="44">
        <v>176</v>
      </c>
      <c r="E177" s="45" t="s">
        <v>36</v>
      </c>
      <c r="F177" s="46" t="s">
        <v>322</v>
      </c>
    </row>
    <row r="178" spans="1:6" ht="17">
      <c r="A178" s="15">
        <f t="shared" ca="1" si="4"/>
        <v>1630</v>
      </c>
      <c r="B178" s="16">
        <f t="shared" ca="1" si="5"/>
        <v>0.13972787604283565</v>
      </c>
      <c r="C178" s="17">
        <f>IF(AND(問題解答データベース!D178&gt;=小テスト!$C$6,D178&lt;=小テスト!$E$6),1,0)</f>
        <v>1</v>
      </c>
      <c r="D178" s="44">
        <v>177</v>
      </c>
      <c r="E178" s="45" t="s">
        <v>323</v>
      </c>
      <c r="F178" s="46" t="s">
        <v>2109</v>
      </c>
    </row>
    <row r="179" spans="1:6" ht="17">
      <c r="A179" s="15">
        <f t="shared" ca="1" si="4"/>
        <v>361</v>
      </c>
      <c r="B179" s="16">
        <f t="shared" ca="1" si="5"/>
        <v>0.80703175657776383</v>
      </c>
      <c r="C179" s="17">
        <f>IF(AND(問題解答データベース!D179&gt;=小テスト!$C$6,D179&lt;=小テスト!$E$6),1,0)</f>
        <v>1</v>
      </c>
      <c r="D179" s="44">
        <v>178</v>
      </c>
      <c r="E179" s="45" t="s">
        <v>324</v>
      </c>
      <c r="F179" s="46" t="s">
        <v>325</v>
      </c>
    </row>
    <row r="180" spans="1:6" ht="17">
      <c r="A180" s="15">
        <f t="shared" ca="1" si="4"/>
        <v>76</v>
      </c>
      <c r="B180" s="16">
        <f t="shared" ca="1" si="5"/>
        <v>0.96445122722438414</v>
      </c>
      <c r="C180" s="17">
        <f>IF(AND(問題解答データベース!D180&gt;=小テスト!$C$6,D180&lt;=小テスト!$E$6),1,0)</f>
        <v>1</v>
      </c>
      <c r="D180" s="44">
        <v>179</v>
      </c>
      <c r="E180" s="45" t="s">
        <v>326</v>
      </c>
      <c r="F180" s="46" t="s">
        <v>327</v>
      </c>
    </row>
    <row r="181" spans="1:6" ht="17">
      <c r="A181" s="15">
        <f t="shared" ca="1" si="4"/>
        <v>482</v>
      </c>
      <c r="B181" s="16">
        <f t="shared" ca="1" si="5"/>
        <v>0.7526236360230889</v>
      </c>
      <c r="C181" s="17">
        <f>IF(AND(問題解答データベース!D181&gt;=小テスト!$C$6,D181&lt;=小テスト!$E$6),1,0)</f>
        <v>1</v>
      </c>
      <c r="D181" s="44">
        <v>180</v>
      </c>
      <c r="E181" s="45" t="s">
        <v>328</v>
      </c>
      <c r="F181" s="46" t="s">
        <v>329</v>
      </c>
    </row>
    <row r="182" spans="1:6" ht="17">
      <c r="A182" s="15">
        <f t="shared" ca="1" si="4"/>
        <v>251</v>
      </c>
      <c r="B182" s="16">
        <f t="shared" ca="1" si="5"/>
        <v>0.87072231103737951</v>
      </c>
      <c r="C182" s="17">
        <f>IF(AND(問題解答データベース!D182&gt;=小テスト!$C$6,D182&lt;=小テスト!$E$6),1,0)</f>
        <v>1</v>
      </c>
      <c r="D182" s="44">
        <v>181</v>
      </c>
      <c r="E182" s="45" t="s">
        <v>330</v>
      </c>
      <c r="F182" s="46" t="s">
        <v>331</v>
      </c>
    </row>
    <row r="183" spans="1:6" ht="17">
      <c r="A183" s="15">
        <f t="shared" ca="1" si="4"/>
        <v>545</v>
      </c>
      <c r="B183" s="16">
        <f t="shared" ca="1" si="5"/>
        <v>0.71534596401851547</v>
      </c>
      <c r="C183" s="17">
        <f>IF(AND(問題解答データベース!D183&gt;=小テスト!$C$6,D183&lt;=小テスト!$E$6),1,0)</f>
        <v>1</v>
      </c>
      <c r="D183" s="44">
        <v>182</v>
      </c>
      <c r="E183" s="45" t="s">
        <v>332</v>
      </c>
      <c r="F183" s="46" t="s">
        <v>333</v>
      </c>
    </row>
    <row r="184" spans="1:6" ht="17">
      <c r="A184" s="15">
        <f t="shared" ca="1" si="4"/>
        <v>688</v>
      </c>
      <c r="B184" s="16">
        <f t="shared" ca="1" si="5"/>
        <v>0.6346046084096042</v>
      </c>
      <c r="C184" s="17">
        <f>IF(AND(問題解答データベース!D184&gt;=小テスト!$C$6,D184&lt;=小テスト!$E$6),1,0)</f>
        <v>1</v>
      </c>
      <c r="D184" s="44">
        <v>183</v>
      </c>
      <c r="E184" s="45" t="s">
        <v>334</v>
      </c>
      <c r="F184" s="46" t="s">
        <v>335</v>
      </c>
    </row>
    <row r="185" spans="1:6" ht="17">
      <c r="A185" s="15">
        <f t="shared" ca="1" si="4"/>
        <v>1007</v>
      </c>
      <c r="B185" s="16">
        <f t="shared" ca="1" si="5"/>
        <v>0.47552352911523921</v>
      </c>
      <c r="C185" s="17">
        <f>IF(AND(問題解答データベース!D185&gt;=小テスト!$C$6,D185&lt;=小テスト!$E$6),1,0)</f>
        <v>1</v>
      </c>
      <c r="D185" s="44">
        <v>184</v>
      </c>
      <c r="E185" s="45" t="s">
        <v>336</v>
      </c>
      <c r="F185" s="46" t="s">
        <v>2110</v>
      </c>
    </row>
    <row r="186" spans="1:6" ht="17">
      <c r="A186" s="15">
        <f t="shared" ca="1" si="4"/>
        <v>491</v>
      </c>
      <c r="B186" s="16">
        <f t="shared" ca="1" si="5"/>
        <v>0.74577290683243536</v>
      </c>
      <c r="C186" s="17">
        <f>IF(AND(問題解答データベース!D186&gt;=小テスト!$C$6,D186&lt;=小テスト!$E$6),1,0)</f>
        <v>1</v>
      </c>
      <c r="D186" s="44">
        <v>185</v>
      </c>
      <c r="E186" s="45" t="s">
        <v>337</v>
      </c>
      <c r="F186" s="46" t="s">
        <v>338</v>
      </c>
    </row>
    <row r="187" spans="1:6" ht="17">
      <c r="A187" s="15">
        <f t="shared" ca="1" si="4"/>
        <v>631</v>
      </c>
      <c r="B187" s="16">
        <f t="shared" ca="1" si="5"/>
        <v>0.66444283519765934</v>
      </c>
      <c r="C187" s="17">
        <f>IF(AND(問題解答データベース!D187&gt;=小テスト!$C$6,D187&lt;=小テスト!$E$6),1,0)</f>
        <v>1</v>
      </c>
      <c r="D187" s="44">
        <v>186</v>
      </c>
      <c r="E187" s="45" t="s">
        <v>339</v>
      </c>
      <c r="F187" s="46" t="s">
        <v>2111</v>
      </c>
    </row>
    <row r="188" spans="1:6" ht="17">
      <c r="A188" s="15">
        <f t="shared" ca="1" si="4"/>
        <v>1512</v>
      </c>
      <c r="B188" s="16">
        <f t="shared" ca="1" si="5"/>
        <v>0.19684829489289535</v>
      </c>
      <c r="C188" s="17">
        <f>IF(AND(問題解答データベース!D188&gt;=小テスト!$C$6,D188&lt;=小テスト!$E$6),1,0)</f>
        <v>1</v>
      </c>
      <c r="D188" s="44">
        <v>187</v>
      </c>
      <c r="E188" s="45" t="s">
        <v>340</v>
      </c>
      <c r="F188" s="46" t="s">
        <v>341</v>
      </c>
    </row>
    <row r="189" spans="1:6" ht="17">
      <c r="A189" s="15">
        <f t="shared" ca="1" si="4"/>
        <v>720</v>
      </c>
      <c r="B189" s="16">
        <f t="shared" ca="1" si="5"/>
        <v>0.61839940053521336</v>
      </c>
      <c r="C189" s="17">
        <f>IF(AND(問題解答データベース!D189&gt;=小テスト!$C$6,D189&lt;=小テスト!$E$6),1,0)</f>
        <v>1</v>
      </c>
      <c r="D189" s="44">
        <v>188</v>
      </c>
      <c r="E189" s="45" t="s">
        <v>342</v>
      </c>
      <c r="F189" s="46" t="s">
        <v>343</v>
      </c>
    </row>
    <row r="190" spans="1:6" ht="17">
      <c r="A190" s="15">
        <f t="shared" ca="1" si="4"/>
        <v>548</v>
      </c>
      <c r="B190" s="16">
        <f t="shared" ca="1" si="5"/>
        <v>0.71419526492433338</v>
      </c>
      <c r="C190" s="17">
        <f>IF(AND(問題解答データベース!D190&gt;=小テスト!$C$6,D190&lt;=小テスト!$E$6),1,0)</f>
        <v>1</v>
      </c>
      <c r="D190" s="44">
        <v>189</v>
      </c>
      <c r="E190" s="45" t="s">
        <v>344</v>
      </c>
      <c r="F190" s="46" t="s">
        <v>345</v>
      </c>
    </row>
    <row r="191" spans="1:6" ht="17">
      <c r="A191" s="15">
        <f t="shared" ca="1" si="4"/>
        <v>850</v>
      </c>
      <c r="B191" s="16">
        <f t="shared" ca="1" si="5"/>
        <v>0.54849016957247365</v>
      </c>
      <c r="C191" s="17">
        <f>IF(AND(問題解答データベース!D191&gt;=小テスト!$C$6,D191&lt;=小テスト!$E$6),1,0)</f>
        <v>1</v>
      </c>
      <c r="D191" s="44">
        <v>190</v>
      </c>
      <c r="E191" s="45" t="s">
        <v>346</v>
      </c>
      <c r="F191" s="46" t="s">
        <v>347</v>
      </c>
    </row>
    <row r="192" spans="1:6" ht="17">
      <c r="A192" s="15">
        <f t="shared" ca="1" si="4"/>
        <v>1258</v>
      </c>
      <c r="B192" s="16">
        <f t="shared" ca="1" si="5"/>
        <v>0.34615908677209573</v>
      </c>
      <c r="C192" s="17">
        <f>IF(AND(問題解答データベース!D192&gt;=小テスト!$C$6,D192&lt;=小テスト!$E$6),1,0)</f>
        <v>1</v>
      </c>
      <c r="D192" s="44">
        <v>191</v>
      </c>
      <c r="E192" s="45" t="s">
        <v>348</v>
      </c>
      <c r="F192" s="46" t="s">
        <v>2112</v>
      </c>
    </row>
    <row r="193" spans="1:6" ht="17">
      <c r="A193" s="15">
        <f t="shared" ca="1" si="4"/>
        <v>511</v>
      </c>
      <c r="B193" s="16">
        <f t="shared" ca="1" si="5"/>
        <v>0.73591083693454029</v>
      </c>
      <c r="C193" s="17">
        <f>IF(AND(問題解答データベース!D193&gt;=小テスト!$C$6,D193&lt;=小テスト!$E$6),1,0)</f>
        <v>1</v>
      </c>
      <c r="D193" s="44">
        <v>192</v>
      </c>
      <c r="E193" s="45" t="s">
        <v>349</v>
      </c>
      <c r="F193" s="46" t="s">
        <v>350</v>
      </c>
    </row>
    <row r="194" spans="1:6" ht="17">
      <c r="A194" s="15">
        <f t="shared" ca="1" si="4"/>
        <v>713</v>
      </c>
      <c r="B194" s="16">
        <f t="shared" ca="1" si="5"/>
        <v>0.62179906649006489</v>
      </c>
      <c r="C194" s="17">
        <f>IF(AND(問題解答データベース!D194&gt;=小テスト!$C$6,D194&lt;=小テスト!$E$6),1,0)</f>
        <v>1</v>
      </c>
      <c r="D194" s="44">
        <v>193</v>
      </c>
      <c r="E194" s="45" t="s">
        <v>351</v>
      </c>
      <c r="F194" s="46" t="s">
        <v>352</v>
      </c>
    </row>
    <row r="195" spans="1:6" ht="17">
      <c r="A195" s="15">
        <f t="shared" ref="A195:A258" ca="1" si="6">RANK(B195,$B$2:$B$1901,0)</f>
        <v>269</v>
      </c>
      <c r="B195" s="16">
        <f t="shared" ref="B195:B200" ca="1" si="7">IF(C195=1,RAND(),0)</f>
        <v>0.86070941650149824</v>
      </c>
      <c r="C195" s="17">
        <f>IF(AND(問題解答データベース!D195&gt;=小テスト!$C$6,D195&lt;=小テスト!$E$6),1,0)</f>
        <v>1</v>
      </c>
      <c r="D195" s="44">
        <v>194</v>
      </c>
      <c r="E195" s="45" t="s">
        <v>353</v>
      </c>
      <c r="F195" s="46" t="s">
        <v>354</v>
      </c>
    </row>
    <row r="196" spans="1:6" ht="17">
      <c r="A196" s="15">
        <f t="shared" ca="1" si="6"/>
        <v>828</v>
      </c>
      <c r="B196" s="16">
        <f t="shared" ca="1" si="7"/>
        <v>0.55879257894913037</v>
      </c>
      <c r="C196" s="17">
        <f>IF(AND(問題解答データベース!D196&gt;=小テスト!$C$6,D196&lt;=小テスト!$E$6),1,0)</f>
        <v>1</v>
      </c>
      <c r="D196" s="44">
        <v>195</v>
      </c>
      <c r="E196" s="45" t="s">
        <v>355</v>
      </c>
      <c r="F196" s="46" t="s">
        <v>356</v>
      </c>
    </row>
    <row r="197" spans="1:6" ht="17">
      <c r="A197" s="15">
        <f t="shared" ca="1" si="6"/>
        <v>652</v>
      </c>
      <c r="B197" s="16">
        <f t="shared" ca="1" si="7"/>
        <v>0.65757707174556412</v>
      </c>
      <c r="C197" s="17">
        <f>IF(AND(問題解答データベース!D197&gt;=小テスト!$C$6,D197&lt;=小テスト!$E$6),1,0)</f>
        <v>1</v>
      </c>
      <c r="D197" s="44">
        <v>196</v>
      </c>
      <c r="E197" s="45" t="s">
        <v>357</v>
      </c>
      <c r="F197" s="46" t="s">
        <v>358</v>
      </c>
    </row>
    <row r="198" spans="1:6" ht="17">
      <c r="A198" s="15">
        <f t="shared" ca="1" si="6"/>
        <v>135</v>
      </c>
      <c r="B198" s="16">
        <f t="shared" ca="1" si="7"/>
        <v>0.93644219598753342</v>
      </c>
      <c r="C198" s="17">
        <f>IF(AND(問題解答データベース!D198&gt;=小テスト!$C$6,D198&lt;=小テスト!$E$6),1,0)</f>
        <v>1</v>
      </c>
      <c r="D198" s="44">
        <v>197</v>
      </c>
      <c r="E198" s="45" t="s">
        <v>359</v>
      </c>
      <c r="F198" s="46" t="s">
        <v>360</v>
      </c>
    </row>
    <row r="199" spans="1:6" ht="17">
      <c r="A199" s="15">
        <f t="shared" ca="1" si="6"/>
        <v>856</v>
      </c>
      <c r="B199" s="16">
        <f t="shared" ca="1" si="7"/>
        <v>0.54283773758561349</v>
      </c>
      <c r="C199" s="17">
        <f>IF(AND(問題解答データベース!D199&gt;=小テスト!$C$6,D199&lt;=小テスト!$E$6),1,0)</f>
        <v>1</v>
      </c>
      <c r="D199" s="44">
        <v>198</v>
      </c>
      <c r="E199" s="45" t="s">
        <v>361</v>
      </c>
      <c r="F199" s="46" t="s">
        <v>362</v>
      </c>
    </row>
    <row r="200" spans="1:6" ht="17">
      <c r="A200" s="15">
        <f t="shared" ca="1" si="6"/>
        <v>6</v>
      </c>
      <c r="B200" s="16">
        <f t="shared" ca="1" si="7"/>
        <v>0.9977994132374125</v>
      </c>
      <c r="C200" s="17">
        <f>IF(AND(問題解答データベース!D200&gt;=小テスト!$C$6,D200&lt;=小テスト!$E$6),1,0)</f>
        <v>1</v>
      </c>
      <c r="D200" s="44">
        <v>199</v>
      </c>
      <c r="E200" s="45" t="s">
        <v>363</v>
      </c>
      <c r="F200" s="46" t="s">
        <v>2113</v>
      </c>
    </row>
    <row r="201" spans="1:6" ht="17">
      <c r="A201" s="15">
        <f t="shared" ca="1" si="6"/>
        <v>1161</v>
      </c>
      <c r="B201" s="16">
        <f ca="1">IF(C201=1,RAND(),0)</f>
        <v>0.38767848901674895</v>
      </c>
      <c r="C201" s="17">
        <f>IF(AND(問題解答データベース!D201&gt;=小テスト!$C$6,D201&lt;=小テスト!$E$6),1,0)</f>
        <v>1</v>
      </c>
      <c r="D201" s="44">
        <v>200</v>
      </c>
      <c r="E201" s="45" t="s">
        <v>364</v>
      </c>
      <c r="F201" s="46" t="s">
        <v>365</v>
      </c>
    </row>
    <row r="202" spans="1:6" ht="17">
      <c r="A202" s="15">
        <f t="shared" ca="1" si="6"/>
        <v>22</v>
      </c>
      <c r="B202" s="16">
        <f t="shared" ref="B202:B265" ca="1" si="8">IF(C202=1,RAND(),0)</f>
        <v>0.99008628289338585</v>
      </c>
      <c r="C202" s="17">
        <f>IF(AND(問題解答データベース!D202&gt;=小テスト!$C$6,D202&lt;=小テスト!$E$6),1,0)</f>
        <v>1</v>
      </c>
      <c r="D202" s="44">
        <f>D201+1</f>
        <v>201</v>
      </c>
      <c r="E202" s="45" t="s">
        <v>366</v>
      </c>
      <c r="F202" s="46" t="s">
        <v>2114</v>
      </c>
    </row>
    <row r="203" spans="1:6" ht="17">
      <c r="A203" s="15">
        <f t="shared" ca="1" si="6"/>
        <v>1167</v>
      </c>
      <c r="B203" s="16">
        <f t="shared" ca="1" si="8"/>
        <v>0.38580915836401763</v>
      </c>
      <c r="C203" s="17">
        <f>IF(AND(問題解答データベース!D203&gt;=小テスト!$C$6,D203&lt;=小テスト!$E$6),1,0)</f>
        <v>1</v>
      </c>
      <c r="D203" s="44">
        <v>202</v>
      </c>
      <c r="E203" s="45" t="s">
        <v>367</v>
      </c>
      <c r="F203" s="46" t="s">
        <v>2115</v>
      </c>
    </row>
    <row r="204" spans="1:6" ht="17">
      <c r="A204" s="15">
        <f t="shared" ca="1" si="6"/>
        <v>1278</v>
      </c>
      <c r="B204" s="16">
        <f t="shared" ca="1" si="8"/>
        <v>0.33403311954357773</v>
      </c>
      <c r="C204" s="17">
        <f>IF(AND(問題解答データベース!D204&gt;=小テスト!$C$6,D204&lt;=小テスト!$E$6),1,0)</f>
        <v>1</v>
      </c>
      <c r="D204" s="44">
        <f>D203+1</f>
        <v>203</v>
      </c>
      <c r="E204" s="45" t="s">
        <v>368</v>
      </c>
      <c r="F204" s="46" t="s">
        <v>2116</v>
      </c>
    </row>
    <row r="205" spans="1:6" ht="17">
      <c r="A205" s="15">
        <f t="shared" ca="1" si="6"/>
        <v>1679</v>
      </c>
      <c r="B205" s="16">
        <f t="shared" ca="1" si="8"/>
        <v>0.11162826310580587</v>
      </c>
      <c r="C205" s="17">
        <f>IF(AND(問題解答データベース!D205&gt;=小テスト!$C$6,D205&lt;=小テスト!$E$6),1,0)</f>
        <v>1</v>
      </c>
      <c r="D205" s="44">
        <f t="shared" ref="D205:D268" si="9">D204+1</f>
        <v>204</v>
      </c>
      <c r="E205" s="45" t="s">
        <v>369</v>
      </c>
      <c r="F205" s="46" t="s">
        <v>2117</v>
      </c>
    </row>
    <row r="206" spans="1:6" ht="17">
      <c r="A206" s="15">
        <f t="shared" ca="1" si="6"/>
        <v>1445</v>
      </c>
      <c r="B206" s="16">
        <f t="shared" ca="1" si="8"/>
        <v>0.23870985661686339</v>
      </c>
      <c r="C206" s="17">
        <f>IF(AND(問題解答データベース!D206&gt;=小テスト!$C$6,D206&lt;=小テスト!$E$6),1,0)</f>
        <v>1</v>
      </c>
      <c r="D206" s="44">
        <f t="shared" si="9"/>
        <v>205</v>
      </c>
      <c r="E206" s="45" t="s">
        <v>370</v>
      </c>
      <c r="F206" s="46" t="s">
        <v>2118</v>
      </c>
    </row>
    <row r="207" spans="1:6" ht="17">
      <c r="A207" s="15">
        <f t="shared" ca="1" si="6"/>
        <v>387</v>
      </c>
      <c r="B207" s="16">
        <f t="shared" ca="1" si="8"/>
        <v>0.79188962794505069</v>
      </c>
      <c r="C207" s="17">
        <f>IF(AND(問題解答データベース!D207&gt;=小テスト!$C$6,D207&lt;=小テスト!$E$6),1,0)</f>
        <v>1</v>
      </c>
      <c r="D207" s="44">
        <f t="shared" si="9"/>
        <v>206</v>
      </c>
      <c r="E207" s="45" t="s">
        <v>371</v>
      </c>
      <c r="F207" s="46" t="s">
        <v>2119</v>
      </c>
    </row>
    <row r="208" spans="1:6" ht="17">
      <c r="A208" s="15">
        <f t="shared" ca="1" si="6"/>
        <v>366</v>
      </c>
      <c r="B208" s="16">
        <f t="shared" ca="1" si="8"/>
        <v>0.80453887062524432</v>
      </c>
      <c r="C208" s="17">
        <f>IF(AND(問題解答データベース!D208&gt;=小テスト!$C$6,D208&lt;=小テスト!$E$6),1,0)</f>
        <v>1</v>
      </c>
      <c r="D208" s="44">
        <f t="shared" si="9"/>
        <v>207</v>
      </c>
      <c r="E208" s="45" t="s">
        <v>372</v>
      </c>
      <c r="F208" s="46" t="s">
        <v>2120</v>
      </c>
    </row>
    <row r="209" spans="1:6" ht="17">
      <c r="A209" s="15">
        <f t="shared" ca="1" si="6"/>
        <v>113</v>
      </c>
      <c r="B209" s="16">
        <f t="shared" ca="1" si="8"/>
        <v>0.94508099506560883</v>
      </c>
      <c r="C209" s="17">
        <f>IF(AND(問題解答データベース!D209&gt;=小テスト!$C$6,D209&lt;=小テスト!$E$6),1,0)</f>
        <v>1</v>
      </c>
      <c r="D209" s="44">
        <f t="shared" si="9"/>
        <v>208</v>
      </c>
      <c r="E209" s="45" t="s">
        <v>373</v>
      </c>
      <c r="F209" s="46" t="s">
        <v>2121</v>
      </c>
    </row>
    <row r="210" spans="1:6" ht="17">
      <c r="A210" s="15">
        <f t="shared" ca="1" si="6"/>
        <v>217</v>
      </c>
      <c r="B210" s="16">
        <f t="shared" ca="1" si="8"/>
        <v>0.8940195085692717</v>
      </c>
      <c r="C210" s="17">
        <f>IF(AND(問題解答データベース!D210&gt;=小テスト!$C$6,D210&lt;=小テスト!$E$6),1,0)</f>
        <v>1</v>
      </c>
      <c r="D210" s="44">
        <f t="shared" si="9"/>
        <v>209</v>
      </c>
      <c r="E210" s="45" t="s">
        <v>374</v>
      </c>
      <c r="F210" s="46" t="s">
        <v>2122</v>
      </c>
    </row>
    <row r="211" spans="1:6" ht="17">
      <c r="A211" s="15">
        <f t="shared" ca="1" si="6"/>
        <v>284</v>
      </c>
      <c r="B211" s="16">
        <f t="shared" ca="1" si="8"/>
        <v>0.85331746691149968</v>
      </c>
      <c r="C211" s="17">
        <f>IF(AND(問題解答データベース!D211&gt;=小テスト!$C$6,D211&lt;=小テスト!$E$6),1,0)</f>
        <v>1</v>
      </c>
      <c r="D211" s="44">
        <f t="shared" si="9"/>
        <v>210</v>
      </c>
      <c r="E211" s="45" t="s">
        <v>375</v>
      </c>
      <c r="F211" s="46" t="s">
        <v>2123</v>
      </c>
    </row>
    <row r="212" spans="1:6" ht="17">
      <c r="A212" s="15">
        <f t="shared" ca="1" si="6"/>
        <v>1510</v>
      </c>
      <c r="B212" s="16">
        <f t="shared" ca="1" si="8"/>
        <v>0.1971124371730214</v>
      </c>
      <c r="C212" s="17">
        <f>IF(AND(問題解答データベース!D212&gt;=小テスト!$C$6,D212&lt;=小テスト!$E$6),1,0)</f>
        <v>1</v>
      </c>
      <c r="D212" s="44">
        <f t="shared" si="9"/>
        <v>211</v>
      </c>
      <c r="E212" s="45" t="s">
        <v>376</v>
      </c>
      <c r="F212" s="46" t="s">
        <v>2124</v>
      </c>
    </row>
    <row r="213" spans="1:6" ht="17">
      <c r="A213" s="15">
        <f t="shared" ca="1" si="6"/>
        <v>1235</v>
      </c>
      <c r="B213" s="16">
        <f t="shared" ca="1" si="8"/>
        <v>0.35855107417841192</v>
      </c>
      <c r="C213" s="17">
        <f>IF(AND(問題解答データベース!D213&gt;=小テスト!$C$6,D213&lt;=小テスト!$E$6),1,0)</f>
        <v>1</v>
      </c>
      <c r="D213" s="44">
        <f t="shared" si="9"/>
        <v>212</v>
      </c>
      <c r="E213" s="45" t="s">
        <v>377</v>
      </c>
      <c r="F213" s="46" t="s">
        <v>2125</v>
      </c>
    </row>
    <row r="214" spans="1:6" ht="17">
      <c r="A214" s="15">
        <f t="shared" ca="1" si="6"/>
        <v>357</v>
      </c>
      <c r="B214" s="16">
        <f t="shared" ca="1" si="8"/>
        <v>0.80808115956831117</v>
      </c>
      <c r="C214" s="17">
        <f>IF(AND(問題解答データベース!D214&gt;=小テスト!$C$6,D214&lt;=小テスト!$E$6),1,0)</f>
        <v>1</v>
      </c>
      <c r="D214" s="44">
        <f t="shared" si="9"/>
        <v>213</v>
      </c>
      <c r="E214" s="45" t="s">
        <v>378</v>
      </c>
      <c r="F214" s="46" t="s">
        <v>2126</v>
      </c>
    </row>
    <row r="215" spans="1:6" ht="17">
      <c r="A215" s="15">
        <f t="shared" ca="1" si="6"/>
        <v>878</v>
      </c>
      <c r="B215" s="16">
        <f t="shared" ca="1" si="8"/>
        <v>0.53343807078398642</v>
      </c>
      <c r="C215" s="17">
        <f>IF(AND(問題解答データベース!D215&gt;=小テスト!$C$6,D215&lt;=小テスト!$E$6),1,0)</f>
        <v>1</v>
      </c>
      <c r="D215" s="44">
        <f t="shared" si="9"/>
        <v>214</v>
      </c>
      <c r="E215" s="45" t="s">
        <v>379</v>
      </c>
      <c r="F215" s="46" t="s">
        <v>2127</v>
      </c>
    </row>
    <row r="216" spans="1:6" ht="17">
      <c r="A216" s="15">
        <f t="shared" ca="1" si="6"/>
        <v>1138</v>
      </c>
      <c r="B216" s="16">
        <f t="shared" ca="1" si="8"/>
        <v>0.40418716165136059</v>
      </c>
      <c r="C216" s="17">
        <f>IF(AND(問題解答データベース!D216&gt;=小テスト!$C$6,D216&lt;=小テスト!$E$6),1,0)</f>
        <v>1</v>
      </c>
      <c r="D216" s="44">
        <f t="shared" si="9"/>
        <v>215</v>
      </c>
      <c r="E216" s="45" t="s">
        <v>380</v>
      </c>
      <c r="F216" s="46" t="s">
        <v>2128</v>
      </c>
    </row>
    <row r="217" spans="1:6" ht="17">
      <c r="A217" s="15">
        <f t="shared" ca="1" si="6"/>
        <v>490</v>
      </c>
      <c r="B217" s="16">
        <f t="shared" ca="1" si="8"/>
        <v>0.74653144535792093</v>
      </c>
      <c r="C217" s="17">
        <f>IF(AND(問題解答データベース!D217&gt;=小テスト!$C$6,D217&lt;=小テスト!$E$6),1,0)</f>
        <v>1</v>
      </c>
      <c r="D217" s="44">
        <f t="shared" si="9"/>
        <v>216</v>
      </c>
      <c r="E217" s="45" t="s">
        <v>381</v>
      </c>
      <c r="F217" s="46" t="s">
        <v>2129</v>
      </c>
    </row>
    <row r="218" spans="1:6" ht="17">
      <c r="A218" s="15">
        <f t="shared" ca="1" si="6"/>
        <v>717</v>
      </c>
      <c r="B218" s="16">
        <f t="shared" ca="1" si="8"/>
        <v>0.61970254293618654</v>
      </c>
      <c r="C218" s="17">
        <f>IF(AND(問題解答データベース!D218&gt;=小テスト!$C$6,D218&lt;=小テスト!$E$6),1,0)</f>
        <v>1</v>
      </c>
      <c r="D218" s="44">
        <f t="shared" si="9"/>
        <v>217</v>
      </c>
      <c r="E218" s="45" t="s">
        <v>382</v>
      </c>
      <c r="F218" s="46" t="s">
        <v>2130</v>
      </c>
    </row>
    <row r="219" spans="1:6" ht="17">
      <c r="A219" s="15">
        <f t="shared" ca="1" si="6"/>
        <v>469</v>
      </c>
      <c r="B219" s="16">
        <f t="shared" ca="1" si="8"/>
        <v>0.75819949655961516</v>
      </c>
      <c r="C219" s="17">
        <f>IF(AND(問題解答データベース!D219&gt;=小テスト!$C$6,D219&lt;=小テスト!$E$6),1,0)</f>
        <v>1</v>
      </c>
      <c r="D219" s="44">
        <f t="shared" si="9"/>
        <v>218</v>
      </c>
      <c r="E219" s="45" t="s">
        <v>383</v>
      </c>
      <c r="F219" s="46" t="s">
        <v>2131</v>
      </c>
    </row>
    <row r="220" spans="1:6" ht="17">
      <c r="A220" s="15">
        <f t="shared" ca="1" si="6"/>
        <v>1139</v>
      </c>
      <c r="B220" s="16">
        <f t="shared" ca="1" si="8"/>
        <v>0.40351184424417441</v>
      </c>
      <c r="C220" s="17">
        <f>IF(AND(問題解答データベース!D220&gt;=小テスト!$C$6,D220&lt;=小テスト!$E$6),1,0)</f>
        <v>1</v>
      </c>
      <c r="D220" s="44">
        <f t="shared" si="9"/>
        <v>219</v>
      </c>
      <c r="E220" s="45" t="s">
        <v>384</v>
      </c>
      <c r="F220" s="46" t="s">
        <v>2132</v>
      </c>
    </row>
    <row r="221" spans="1:6" ht="17">
      <c r="A221" s="15">
        <f t="shared" ca="1" si="6"/>
        <v>812</v>
      </c>
      <c r="B221" s="16">
        <f t="shared" ca="1" si="8"/>
        <v>0.57012099440438702</v>
      </c>
      <c r="C221" s="17">
        <f>IF(AND(問題解答データベース!D221&gt;=小テスト!$C$6,D221&lt;=小テスト!$E$6),1,0)</f>
        <v>1</v>
      </c>
      <c r="D221" s="44">
        <f t="shared" si="9"/>
        <v>220</v>
      </c>
      <c r="E221" s="45" t="s">
        <v>385</v>
      </c>
      <c r="F221" s="46" t="s">
        <v>2133</v>
      </c>
    </row>
    <row r="222" spans="1:6" ht="17">
      <c r="A222" s="15">
        <f t="shared" ca="1" si="6"/>
        <v>1201</v>
      </c>
      <c r="B222" s="16">
        <f t="shared" ca="1" si="8"/>
        <v>0.36715093315494707</v>
      </c>
      <c r="C222" s="17">
        <f>IF(AND(問題解答データベース!D222&gt;=小テスト!$C$6,D222&lt;=小テスト!$E$6),1,0)</f>
        <v>1</v>
      </c>
      <c r="D222" s="44">
        <f t="shared" si="9"/>
        <v>221</v>
      </c>
      <c r="E222" s="45" t="s">
        <v>386</v>
      </c>
      <c r="F222" s="46" t="s">
        <v>2134</v>
      </c>
    </row>
    <row r="223" spans="1:6" ht="17">
      <c r="A223" s="15">
        <f t="shared" ca="1" si="6"/>
        <v>252</v>
      </c>
      <c r="B223" s="16">
        <f t="shared" ca="1" si="8"/>
        <v>0.86988250223300045</v>
      </c>
      <c r="C223" s="17">
        <f>IF(AND(問題解答データベース!D223&gt;=小テスト!$C$6,D223&lt;=小テスト!$E$6),1,0)</f>
        <v>1</v>
      </c>
      <c r="D223" s="44">
        <f t="shared" si="9"/>
        <v>222</v>
      </c>
      <c r="E223" s="45" t="s">
        <v>387</v>
      </c>
      <c r="F223" s="46" t="s">
        <v>2135</v>
      </c>
    </row>
    <row r="224" spans="1:6" ht="17">
      <c r="A224" s="15">
        <f t="shared" ca="1" si="6"/>
        <v>236</v>
      </c>
      <c r="B224" s="16">
        <f t="shared" ca="1" si="8"/>
        <v>0.87697592569181315</v>
      </c>
      <c r="C224" s="17">
        <f>IF(AND(問題解答データベース!D224&gt;=小テスト!$C$6,D224&lt;=小テスト!$E$6),1,0)</f>
        <v>1</v>
      </c>
      <c r="D224" s="44">
        <f t="shared" si="9"/>
        <v>223</v>
      </c>
      <c r="E224" s="45" t="s">
        <v>388</v>
      </c>
      <c r="F224" s="46" t="s">
        <v>2136</v>
      </c>
    </row>
    <row r="225" spans="1:6" ht="17">
      <c r="A225" s="15">
        <f t="shared" ca="1" si="6"/>
        <v>267</v>
      </c>
      <c r="B225" s="16">
        <f t="shared" ca="1" si="8"/>
        <v>0.86193506889078642</v>
      </c>
      <c r="C225" s="17">
        <f>IF(AND(問題解答データベース!D225&gt;=小テスト!$C$6,D225&lt;=小テスト!$E$6),1,0)</f>
        <v>1</v>
      </c>
      <c r="D225" s="44">
        <f t="shared" si="9"/>
        <v>224</v>
      </c>
      <c r="E225" s="45" t="s">
        <v>389</v>
      </c>
      <c r="F225" s="46" t="s">
        <v>2137</v>
      </c>
    </row>
    <row r="226" spans="1:6" ht="17">
      <c r="A226" s="15">
        <f t="shared" ca="1" si="6"/>
        <v>1094</v>
      </c>
      <c r="B226" s="16">
        <f t="shared" ca="1" si="8"/>
        <v>0.42723790133696138</v>
      </c>
      <c r="C226" s="17">
        <f>IF(AND(問題解答データベース!D226&gt;=小テスト!$C$6,D226&lt;=小テスト!$E$6),1,0)</f>
        <v>1</v>
      </c>
      <c r="D226" s="44">
        <f t="shared" si="9"/>
        <v>225</v>
      </c>
      <c r="E226" s="45" t="s">
        <v>390</v>
      </c>
      <c r="F226" s="46" t="s">
        <v>2138</v>
      </c>
    </row>
    <row r="227" spans="1:6" ht="17">
      <c r="A227" s="15">
        <f t="shared" ca="1" si="6"/>
        <v>1349</v>
      </c>
      <c r="B227" s="16">
        <f t="shared" ca="1" si="8"/>
        <v>0.29426688480846686</v>
      </c>
      <c r="C227" s="17">
        <f>IF(AND(問題解答データベース!D227&gt;=小テスト!$C$6,D227&lt;=小テスト!$E$6),1,0)</f>
        <v>1</v>
      </c>
      <c r="D227" s="44">
        <f t="shared" si="9"/>
        <v>226</v>
      </c>
      <c r="E227" s="45" t="s">
        <v>391</v>
      </c>
      <c r="F227" s="46" t="s">
        <v>2139</v>
      </c>
    </row>
    <row r="228" spans="1:6" ht="17">
      <c r="A228" s="15">
        <f t="shared" ca="1" si="6"/>
        <v>1327</v>
      </c>
      <c r="B228" s="16">
        <f t="shared" ca="1" si="8"/>
        <v>0.30495072444275029</v>
      </c>
      <c r="C228" s="17">
        <f>IF(AND(問題解答データベース!D228&gt;=小テスト!$C$6,D228&lt;=小テスト!$E$6),1,0)</f>
        <v>1</v>
      </c>
      <c r="D228" s="44">
        <f t="shared" si="9"/>
        <v>227</v>
      </c>
      <c r="E228" s="45" t="s">
        <v>392</v>
      </c>
      <c r="F228" s="46" t="s">
        <v>2140</v>
      </c>
    </row>
    <row r="229" spans="1:6" ht="17">
      <c r="A229" s="15">
        <f t="shared" ca="1" si="6"/>
        <v>1149</v>
      </c>
      <c r="B229" s="16">
        <f t="shared" ca="1" si="8"/>
        <v>0.39745391072260827</v>
      </c>
      <c r="C229" s="17">
        <f>IF(AND(問題解答データベース!D229&gt;=小テスト!$C$6,D229&lt;=小テスト!$E$6),1,0)</f>
        <v>1</v>
      </c>
      <c r="D229" s="44">
        <f t="shared" si="9"/>
        <v>228</v>
      </c>
      <c r="E229" s="45" t="s">
        <v>393</v>
      </c>
      <c r="F229" s="46" t="s">
        <v>2141</v>
      </c>
    </row>
    <row r="230" spans="1:6" ht="17">
      <c r="A230" s="15">
        <f t="shared" ca="1" si="6"/>
        <v>1077</v>
      </c>
      <c r="B230" s="16">
        <f t="shared" ca="1" si="8"/>
        <v>0.43574821070889824</v>
      </c>
      <c r="C230" s="17">
        <f>IF(AND(問題解答データベース!D230&gt;=小テスト!$C$6,D230&lt;=小テスト!$E$6),1,0)</f>
        <v>1</v>
      </c>
      <c r="D230" s="44">
        <f t="shared" si="9"/>
        <v>229</v>
      </c>
      <c r="E230" s="45" t="s">
        <v>394</v>
      </c>
      <c r="F230" s="46" t="s">
        <v>2142</v>
      </c>
    </row>
    <row r="231" spans="1:6" ht="17">
      <c r="A231" s="15">
        <f t="shared" ca="1" si="6"/>
        <v>444</v>
      </c>
      <c r="B231" s="16">
        <f t="shared" ca="1" si="8"/>
        <v>0.76645138342435559</v>
      </c>
      <c r="C231" s="17">
        <f>IF(AND(問題解答データベース!D231&gt;=小テスト!$C$6,D231&lt;=小テスト!$E$6),1,0)</f>
        <v>1</v>
      </c>
      <c r="D231" s="44">
        <f t="shared" si="9"/>
        <v>230</v>
      </c>
      <c r="E231" s="45" t="s">
        <v>395</v>
      </c>
      <c r="F231" s="46" t="s">
        <v>2143</v>
      </c>
    </row>
    <row r="232" spans="1:6" ht="17">
      <c r="A232" s="15">
        <f t="shared" ca="1" si="6"/>
        <v>644</v>
      </c>
      <c r="B232" s="16">
        <f t="shared" ca="1" si="8"/>
        <v>0.66074767613525043</v>
      </c>
      <c r="C232" s="17">
        <f>IF(AND(問題解答データベース!D232&gt;=小テスト!$C$6,D232&lt;=小テスト!$E$6),1,0)</f>
        <v>1</v>
      </c>
      <c r="D232" s="44">
        <f t="shared" si="9"/>
        <v>231</v>
      </c>
      <c r="E232" s="45" t="s">
        <v>396</v>
      </c>
      <c r="F232" s="46" t="s">
        <v>2144</v>
      </c>
    </row>
    <row r="233" spans="1:6" ht="17">
      <c r="A233" s="15">
        <f t="shared" ca="1" si="6"/>
        <v>1274</v>
      </c>
      <c r="B233" s="16">
        <f t="shared" ca="1" si="8"/>
        <v>0.33521674745532148</v>
      </c>
      <c r="C233" s="17">
        <f>IF(AND(問題解答データベース!D233&gt;=小テスト!$C$6,D233&lt;=小テスト!$E$6),1,0)</f>
        <v>1</v>
      </c>
      <c r="D233" s="44">
        <f t="shared" si="9"/>
        <v>232</v>
      </c>
      <c r="E233" s="45" t="s">
        <v>397</v>
      </c>
      <c r="F233" s="46" t="s">
        <v>2145</v>
      </c>
    </row>
    <row r="234" spans="1:6" ht="17">
      <c r="A234" s="15">
        <f t="shared" ca="1" si="6"/>
        <v>685</v>
      </c>
      <c r="B234" s="16">
        <f t="shared" ca="1" si="8"/>
        <v>0.63601576215676925</v>
      </c>
      <c r="C234" s="17">
        <f>IF(AND(問題解答データベース!D234&gt;=小テスト!$C$6,D234&lt;=小テスト!$E$6),1,0)</f>
        <v>1</v>
      </c>
      <c r="D234" s="44">
        <f t="shared" si="9"/>
        <v>233</v>
      </c>
      <c r="E234" s="45" t="s">
        <v>398</v>
      </c>
      <c r="F234" s="46" t="s">
        <v>2146</v>
      </c>
    </row>
    <row r="235" spans="1:6" ht="17">
      <c r="A235" s="15">
        <f t="shared" ca="1" si="6"/>
        <v>571</v>
      </c>
      <c r="B235" s="16">
        <f t="shared" ca="1" si="8"/>
        <v>0.70368632611283122</v>
      </c>
      <c r="C235" s="17">
        <f>IF(AND(問題解答データベース!D235&gt;=小テスト!$C$6,D235&lt;=小テスト!$E$6),1,0)</f>
        <v>1</v>
      </c>
      <c r="D235" s="44">
        <f t="shared" si="9"/>
        <v>234</v>
      </c>
      <c r="E235" s="45" t="s">
        <v>399</v>
      </c>
      <c r="F235" s="46" t="s">
        <v>2147</v>
      </c>
    </row>
    <row r="236" spans="1:6" ht="17">
      <c r="A236" s="15">
        <f t="shared" ca="1" si="6"/>
        <v>999</v>
      </c>
      <c r="B236" s="16">
        <f t="shared" ca="1" si="8"/>
        <v>0.47832936544575155</v>
      </c>
      <c r="C236" s="17">
        <f>IF(AND(問題解答データベース!D236&gt;=小テスト!$C$6,D236&lt;=小テスト!$E$6),1,0)</f>
        <v>1</v>
      </c>
      <c r="D236" s="44">
        <f t="shared" si="9"/>
        <v>235</v>
      </c>
      <c r="E236" s="45" t="s">
        <v>400</v>
      </c>
      <c r="F236" s="46" t="s">
        <v>2148</v>
      </c>
    </row>
    <row r="237" spans="1:6" ht="17">
      <c r="A237" s="15">
        <f t="shared" ca="1" si="6"/>
        <v>1870</v>
      </c>
      <c r="B237" s="16">
        <f t="shared" ca="1" si="8"/>
        <v>1.4097256044926953E-2</v>
      </c>
      <c r="C237" s="17">
        <f>IF(AND(問題解答データベース!D237&gt;=小テスト!$C$6,D237&lt;=小テスト!$E$6),1,0)</f>
        <v>1</v>
      </c>
      <c r="D237" s="44">
        <f t="shared" si="9"/>
        <v>236</v>
      </c>
      <c r="E237" s="45" t="s">
        <v>401</v>
      </c>
      <c r="F237" s="46" t="s">
        <v>2149</v>
      </c>
    </row>
    <row r="238" spans="1:6" ht="17">
      <c r="A238" s="15">
        <f t="shared" ca="1" si="6"/>
        <v>1674</v>
      </c>
      <c r="B238" s="16">
        <f t="shared" ca="1" si="8"/>
        <v>0.11432953828051928</v>
      </c>
      <c r="C238" s="17">
        <f>IF(AND(問題解答データベース!D238&gt;=小テスト!$C$6,D238&lt;=小テスト!$E$6),1,0)</f>
        <v>1</v>
      </c>
      <c r="D238" s="44">
        <f t="shared" si="9"/>
        <v>237</v>
      </c>
      <c r="E238" s="45" t="s">
        <v>402</v>
      </c>
      <c r="F238" s="46" t="s">
        <v>2150</v>
      </c>
    </row>
    <row r="239" spans="1:6" ht="17">
      <c r="A239" s="15">
        <f t="shared" ca="1" si="6"/>
        <v>1681</v>
      </c>
      <c r="B239" s="16">
        <f t="shared" ca="1" si="8"/>
        <v>0.11095687860405612</v>
      </c>
      <c r="C239" s="17">
        <f>IF(AND(問題解答データベース!D239&gt;=小テスト!$C$6,D239&lt;=小テスト!$E$6),1,0)</f>
        <v>1</v>
      </c>
      <c r="D239" s="44">
        <f t="shared" si="9"/>
        <v>238</v>
      </c>
      <c r="E239" s="45" t="s">
        <v>403</v>
      </c>
      <c r="F239" s="46" t="s">
        <v>2151</v>
      </c>
    </row>
    <row r="240" spans="1:6" ht="17">
      <c r="A240" s="15">
        <f t="shared" ca="1" si="6"/>
        <v>1033</v>
      </c>
      <c r="B240" s="16">
        <f t="shared" ca="1" si="8"/>
        <v>0.46568149322329222</v>
      </c>
      <c r="C240" s="17">
        <f>IF(AND(問題解答データベース!D240&gt;=小テスト!$C$6,D240&lt;=小テスト!$E$6),1,0)</f>
        <v>1</v>
      </c>
      <c r="D240" s="44">
        <f t="shared" si="9"/>
        <v>239</v>
      </c>
      <c r="E240" s="45" t="s">
        <v>404</v>
      </c>
      <c r="F240" s="46" t="s">
        <v>2152</v>
      </c>
    </row>
    <row r="241" spans="1:6" ht="17">
      <c r="A241" s="15">
        <f t="shared" ca="1" si="6"/>
        <v>303</v>
      </c>
      <c r="B241" s="16">
        <f t="shared" ca="1" si="8"/>
        <v>0.84490992168360568</v>
      </c>
      <c r="C241" s="17">
        <f>IF(AND(問題解答データベース!D241&gt;=小テスト!$C$6,D241&lt;=小テスト!$E$6),1,0)</f>
        <v>1</v>
      </c>
      <c r="D241" s="44">
        <f t="shared" si="9"/>
        <v>240</v>
      </c>
      <c r="E241" s="45" t="s">
        <v>405</v>
      </c>
      <c r="F241" s="46" t="s">
        <v>2153</v>
      </c>
    </row>
    <row r="242" spans="1:6" ht="17">
      <c r="A242" s="15">
        <f t="shared" ca="1" si="6"/>
        <v>1360</v>
      </c>
      <c r="B242" s="16">
        <f t="shared" ca="1" si="8"/>
        <v>0.2885775164391956</v>
      </c>
      <c r="C242" s="17">
        <f>IF(AND(問題解答データベース!D242&gt;=小テスト!$C$6,D242&lt;=小テスト!$E$6),1,0)</f>
        <v>1</v>
      </c>
      <c r="D242" s="44">
        <f t="shared" si="9"/>
        <v>241</v>
      </c>
      <c r="E242" s="45" t="s">
        <v>406</v>
      </c>
      <c r="F242" s="46" t="s">
        <v>2154</v>
      </c>
    </row>
    <row r="243" spans="1:6" ht="17">
      <c r="A243" s="15">
        <f t="shared" ca="1" si="6"/>
        <v>658</v>
      </c>
      <c r="B243" s="16">
        <f t="shared" ca="1" si="8"/>
        <v>0.65457131735856455</v>
      </c>
      <c r="C243" s="17">
        <f>IF(AND(問題解答データベース!D243&gt;=小テスト!$C$6,D243&lt;=小テスト!$E$6),1,0)</f>
        <v>1</v>
      </c>
      <c r="D243" s="44">
        <f t="shared" si="9"/>
        <v>242</v>
      </c>
      <c r="E243" s="45" t="s">
        <v>407</v>
      </c>
      <c r="F243" s="46" t="s">
        <v>2155</v>
      </c>
    </row>
    <row r="244" spans="1:6" ht="17">
      <c r="A244" s="15">
        <f t="shared" ca="1" si="6"/>
        <v>725</v>
      </c>
      <c r="B244" s="16">
        <f t="shared" ca="1" si="8"/>
        <v>0.61392594414318435</v>
      </c>
      <c r="C244" s="17">
        <f>IF(AND(問題解答データベース!D244&gt;=小テスト!$C$6,D244&lt;=小テスト!$E$6),1,0)</f>
        <v>1</v>
      </c>
      <c r="D244" s="44">
        <f t="shared" si="9"/>
        <v>243</v>
      </c>
      <c r="E244" s="45" t="s">
        <v>408</v>
      </c>
      <c r="F244" s="46" t="s">
        <v>2156</v>
      </c>
    </row>
    <row r="245" spans="1:6" ht="17">
      <c r="A245" s="15">
        <f t="shared" ca="1" si="6"/>
        <v>196</v>
      </c>
      <c r="B245" s="16">
        <f t="shared" ca="1" si="8"/>
        <v>0.90517244637517624</v>
      </c>
      <c r="C245" s="17">
        <f>IF(AND(問題解答データベース!D245&gt;=小テスト!$C$6,D245&lt;=小テスト!$E$6),1,0)</f>
        <v>1</v>
      </c>
      <c r="D245" s="44">
        <f t="shared" si="9"/>
        <v>244</v>
      </c>
      <c r="E245" s="45" t="s">
        <v>409</v>
      </c>
      <c r="F245" s="46" t="s">
        <v>2157</v>
      </c>
    </row>
    <row r="246" spans="1:6" ht="17">
      <c r="A246" s="15">
        <f t="shared" ca="1" si="6"/>
        <v>297</v>
      </c>
      <c r="B246" s="16">
        <f t="shared" ca="1" si="8"/>
        <v>0.84637762535331418</v>
      </c>
      <c r="C246" s="17">
        <f>IF(AND(問題解答データベース!D246&gt;=小テスト!$C$6,D246&lt;=小テスト!$E$6),1,0)</f>
        <v>1</v>
      </c>
      <c r="D246" s="44">
        <f t="shared" si="9"/>
        <v>245</v>
      </c>
      <c r="E246" s="45" t="s">
        <v>410</v>
      </c>
      <c r="F246" s="46" t="s">
        <v>2158</v>
      </c>
    </row>
    <row r="247" spans="1:6" ht="17">
      <c r="A247" s="15">
        <f t="shared" ca="1" si="6"/>
        <v>988</v>
      </c>
      <c r="B247" s="16">
        <f t="shared" ca="1" si="8"/>
        <v>0.4830622625704748</v>
      </c>
      <c r="C247" s="17">
        <f>IF(AND(問題解答データベース!D247&gt;=小テスト!$C$6,D247&lt;=小テスト!$E$6),1,0)</f>
        <v>1</v>
      </c>
      <c r="D247" s="44">
        <f t="shared" si="9"/>
        <v>246</v>
      </c>
      <c r="E247" s="45" t="s">
        <v>411</v>
      </c>
      <c r="F247" s="46" t="s">
        <v>2159</v>
      </c>
    </row>
    <row r="248" spans="1:6" ht="17">
      <c r="A248" s="15">
        <f t="shared" ca="1" si="6"/>
        <v>599</v>
      </c>
      <c r="B248" s="16">
        <f t="shared" ca="1" si="8"/>
        <v>0.68425984062912337</v>
      </c>
      <c r="C248" s="17">
        <f>IF(AND(問題解答データベース!D248&gt;=小テスト!$C$6,D248&lt;=小テスト!$E$6),1,0)</f>
        <v>1</v>
      </c>
      <c r="D248" s="44">
        <f t="shared" si="9"/>
        <v>247</v>
      </c>
      <c r="E248" s="45" t="s">
        <v>412</v>
      </c>
      <c r="F248" s="46" t="s">
        <v>2160</v>
      </c>
    </row>
    <row r="249" spans="1:6" ht="17">
      <c r="A249" s="15">
        <f t="shared" ca="1" si="6"/>
        <v>298</v>
      </c>
      <c r="B249" s="16">
        <f t="shared" ca="1" si="8"/>
        <v>0.84613508753430278</v>
      </c>
      <c r="C249" s="17">
        <f>IF(AND(問題解答データベース!D249&gt;=小テスト!$C$6,D249&lt;=小テスト!$E$6),1,0)</f>
        <v>1</v>
      </c>
      <c r="D249" s="44">
        <f t="shared" si="9"/>
        <v>248</v>
      </c>
      <c r="E249" s="45" t="s">
        <v>413</v>
      </c>
      <c r="F249" s="46" t="s">
        <v>2161</v>
      </c>
    </row>
    <row r="250" spans="1:6" ht="17">
      <c r="A250" s="15">
        <f t="shared" ca="1" si="6"/>
        <v>813</v>
      </c>
      <c r="B250" s="16">
        <f t="shared" ca="1" si="8"/>
        <v>0.56962831564801042</v>
      </c>
      <c r="C250" s="17">
        <f>IF(AND(問題解答データベース!D250&gt;=小テスト!$C$6,D250&lt;=小テスト!$E$6),1,0)</f>
        <v>1</v>
      </c>
      <c r="D250" s="44">
        <f t="shared" si="9"/>
        <v>249</v>
      </c>
      <c r="E250" s="45" t="s">
        <v>414</v>
      </c>
      <c r="F250" s="46" t="s">
        <v>2162</v>
      </c>
    </row>
    <row r="251" spans="1:6" ht="17">
      <c r="A251" s="15">
        <f t="shared" ca="1" si="6"/>
        <v>898</v>
      </c>
      <c r="B251" s="16">
        <f t="shared" ca="1" si="8"/>
        <v>0.5233224057981033</v>
      </c>
      <c r="C251" s="17">
        <f>IF(AND(問題解答データベース!D251&gt;=小テスト!$C$6,D251&lt;=小テスト!$E$6),1,0)</f>
        <v>1</v>
      </c>
      <c r="D251" s="44">
        <f t="shared" si="9"/>
        <v>250</v>
      </c>
      <c r="E251" s="45" t="s">
        <v>415</v>
      </c>
      <c r="F251" s="46" t="s">
        <v>2163</v>
      </c>
    </row>
    <row r="252" spans="1:6" ht="17">
      <c r="A252" s="15">
        <f t="shared" ca="1" si="6"/>
        <v>318</v>
      </c>
      <c r="B252" s="16">
        <f t="shared" ca="1" si="8"/>
        <v>0.82996400928689151</v>
      </c>
      <c r="C252" s="17">
        <f>IF(AND(問題解答データベース!D252&gt;=小テスト!$C$6,D252&lt;=小テスト!$E$6),1,0)</f>
        <v>1</v>
      </c>
      <c r="D252" s="44">
        <f t="shared" si="9"/>
        <v>251</v>
      </c>
      <c r="E252" s="45" t="s">
        <v>416</v>
      </c>
      <c r="F252" s="46" t="s">
        <v>2164</v>
      </c>
    </row>
    <row r="253" spans="1:6" ht="17">
      <c r="A253" s="15">
        <f t="shared" ca="1" si="6"/>
        <v>554</v>
      </c>
      <c r="B253" s="16">
        <f t="shared" ca="1" si="8"/>
        <v>0.71118665263294123</v>
      </c>
      <c r="C253" s="17">
        <f>IF(AND(問題解答データベース!D253&gt;=小テスト!$C$6,D253&lt;=小テスト!$E$6),1,0)</f>
        <v>1</v>
      </c>
      <c r="D253" s="44">
        <f t="shared" si="9"/>
        <v>252</v>
      </c>
      <c r="E253" s="45" t="s">
        <v>417</v>
      </c>
      <c r="F253" s="46" t="s">
        <v>2165</v>
      </c>
    </row>
    <row r="254" spans="1:6" ht="17">
      <c r="A254" s="15">
        <f t="shared" ca="1" si="6"/>
        <v>436</v>
      </c>
      <c r="B254" s="16">
        <f t="shared" ca="1" si="8"/>
        <v>0.76844416878876132</v>
      </c>
      <c r="C254" s="17">
        <f>IF(AND(問題解答データベース!D254&gt;=小テスト!$C$6,D254&lt;=小テスト!$E$6),1,0)</f>
        <v>1</v>
      </c>
      <c r="D254" s="44">
        <f t="shared" si="9"/>
        <v>253</v>
      </c>
      <c r="E254" s="45" t="s">
        <v>418</v>
      </c>
      <c r="F254" s="46" t="s">
        <v>2166</v>
      </c>
    </row>
    <row r="255" spans="1:6" ht="17">
      <c r="A255" s="15">
        <f t="shared" ca="1" si="6"/>
        <v>1897</v>
      </c>
      <c r="B255" s="16">
        <f t="shared" ca="1" si="8"/>
        <v>6.6917907268482235E-4</v>
      </c>
      <c r="C255" s="17">
        <f>IF(AND(問題解答データベース!D255&gt;=小テスト!$C$6,D255&lt;=小テスト!$E$6),1,0)</f>
        <v>1</v>
      </c>
      <c r="D255" s="44">
        <f t="shared" si="9"/>
        <v>254</v>
      </c>
      <c r="E255" s="45" t="s">
        <v>419</v>
      </c>
      <c r="F255" s="46" t="s">
        <v>2167</v>
      </c>
    </row>
    <row r="256" spans="1:6" ht="17">
      <c r="A256" s="15">
        <f t="shared" ca="1" si="6"/>
        <v>1589</v>
      </c>
      <c r="B256" s="16">
        <f t="shared" ca="1" si="8"/>
        <v>0.16054048571775648</v>
      </c>
      <c r="C256" s="17">
        <f>IF(AND(問題解答データベース!D256&gt;=小テスト!$C$6,D256&lt;=小テスト!$E$6),1,0)</f>
        <v>1</v>
      </c>
      <c r="D256" s="44">
        <f t="shared" si="9"/>
        <v>255</v>
      </c>
      <c r="E256" s="45" t="s">
        <v>420</v>
      </c>
      <c r="F256" s="46" t="s">
        <v>2168</v>
      </c>
    </row>
    <row r="257" spans="1:6" ht="17">
      <c r="A257" s="15">
        <f t="shared" ca="1" si="6"/>
        <v>1642</v>
      </c>
      <c r="B257" s="16">
        <f t="shared" ca="1" si="8"/>
        <v>0.13171188352094898</v>
      </c>
      <c r="C257" s="17">
        <f>IF(AND(問題解答データベース!D257&gt;=小テスト!$C$6,D257&lt;=小テスト!$E$6),1,0)</f>
        <v>1</v>
      </c>
      <c r="D257" s="44">
        <f t="shared" si="9"/>
        <v>256</v>
      </c>
      <c r="E257" s="45" t="s">
        <v>421</v>
      </c>
      <c r="F257" s="46" t="s">
        <v>2169</v>
      </c>
    </row>
    <row r="258" spans="1:6" ht="17">
      <c r="A258" s="15">
        <f t="shared" ca="1" si="6"/>
        <v>925</v>
      </c>
      <c r="B258" s="16">
        <f t="shared" ca="1" si="8"/>
        <v>0.51251460495148005</v>
      </c>
      <c r="C258" s="17">
        <f>IF(AND(問題解答データベース!D258&gt;=小テスト!$C$6,D258&lt;=小テスト!$E$6),1,0)</f>
        <v>1</v>
      </c>
      <c r="D258" s="44">
        <f t="shared" si="9"/>
        <v>257</v>
      </c>
      <c r="E258" s="45" t="s">
        <v>422</v>
      </c>
      <c r="F258" s="46" t="s">
        <v>2170</v>
      </c>
    </row>
    <row r="259" spans="1:6" ht="17">
      <c r="A259" s="15">
        <f t="shared" ref="A259:A322" ca="1" si="10">RANK(B259,$B$2:$B$1901,0)</f>
        <v>1047</v>
      </c>
      <c r="B259" s="16">
        <f t="shared" ca="1" si="8"/>
        <v>0.45734769999193792</v>
      </c>
      <c r="C259" s="17">
        <f>IF(AND(問題解答データベース!D259&gt;=小テスト!$C$6,D259&lt;=小テスト!$E$6),1,0)</f>
        <v>1</v>
      </c>
      <c r="D259" s="44">
        <f t="shared" si="9"/>
        <v>258</v>
      </c>
      <c r="E259" s="45" t="s">
        <v>423</v>
      </c>
      <c r="F259" s="46" t="s">
        <v>2171</v>
      </c>
    </row>
    <row r="260" spans="1:6" ht="17">
      <c r="A260" s="15">
        <f t="shared" ca="1" si="10"/>
        <v>585</v>
      </c>
      <c r="B260" s="16">
        <f t="shared" ca="1" si="8"/>
        <v>0.69228721378116476</v>
      </c>
      <c r="C260" s="17">
        <f>IF(AND(問題解答データベース!D260&gt;=小テスト!$C$6,D260&lt;=小テスト!$E$6),1,0)</f>
        <v>1</v>
      </c>
      <c r="D260" s="44">
        <f t="shared" si="9"/>
        <v>259</v>
      </c>
      <c r="E260" s="45" t="s">
        <v>424</v>
      </c>
      <c r="F260" s="46" t="s">
        <v>2172</v>
      </c>
    </row>
    <row r="261" spans="1:6" ht="17">
      <c r="A261" s="15">
        <f t="shared" ca="1" si="10"/>
        <v>230</v>
      </c>
      <c r="B261" s="16">
        <f t="shared" ca="1" si="8"/>
        <v>0.88328297747007356</v>
      </c>
      <c r="C261" s="17">
        <f>IF(AND(問題解答データベース!D261&gt;=小テスト!$C$6,D261&lt;=小テスト!$E$6),1,0)</f>
        <v>1</v>
      </c>
      <c r="D261" s="44">
        <f t="shared" si="9"/>
        <v>260</v>
      </c>
      <c r="E261" s="45" t="s">
        <v>425</v>
      </c>
      <c r="F261" s="46" t="s">
        <v>2173</v>
      </c>
    </row>
    <row r="262" spans="1:6" ht="17">
      <c r="A262" s="15">
        <f t="shared" ca="1" si="10"/>
        <v>1883</v>
      </c>
      <c r="B262" s="16">
        <f t="shared" ca="1" si="8"/>
        <v>7.3783082601406313E-3</v>
      </c>
      <c r="C262" s="17">
        <f>IF(AND(問題解答データベース!D262&gt;=小テスト!$C$6,D262&lt;=小テスト!$E$6),1,0)</f>
        <v>1</v>
      </c>
      <c r="D262" s="44">
        <f t="shared" si="9"/>
        <v>261</v>
      </c>
      <c r="E262" s="45" t="s">
        <v>426</v>
      </c>
      <c r="F262" s="46" t="s">
        <v>2174</v>
      </c>
    </row>
    <row r="263" spans="1:6" ht="17">
      <c r="A263" s="15">
        <f t="shared" ca="1" si="10"/>
        <v>476</v>
      </c>
      <c r="B263" s="16">
        <f t="shared" ca="1" si="8"/>
        <v>0.75459713468804546</v>
      </c>
      <c r="C263" s="17">
        <f>IF(AND(問題解答データベース!D263&gt;=小テスト!$C$6,D263&lt;=小テスト!$E$6),1,0)</f>
        <v>1</v>
      </c>
      <c r="D263" s="44">
        <f t="shared" si="9"/>
        <v>262</v>
      </c>
      <c r="E263" s="45" t="s">
        <v>427</v>
      </c>
      <c r="F263" s="46" t="s">
        <v>2175</v>
      </c>
    </row>
    <row r="264" spans="1:6" ht="17">
      <c r="A264" s="15">
        <f t="shared" ca="1" si="10"/>
        <v>1688</v>
      </c>
      <c r="B264" s="16">
        <f t="shared" ca="1" si="8"/>
        <v>0.10799049888618706</v>
      </c>
      <c r="C264" s="17">
        <f>IF(AND(問題解答データベース!D264&gt;=小テスト!$C$6,D264&lt;=小テスト!$E$6),1,0)</f>
        <v>1</v>
      </c>
      <c r="D264" s="44">
        <f t="shared" si="9"/>
        <v>263</v>
      </c>
      <c r="E264" s="45" t="s">
        <v>428</v>
      </c>
      <c r="F264" s="46" t="s">
        <v>2176</v>
      </c>
    </row>
    <row r="265" spans="1:6" ht="17">
      <c r="A265" s="15">
        <f t="shared" ca="1" si="10"/>
        <v>1015</v>
      </c>
      <c r="B265" s="16">
        <f t="shared" ca="1" si="8"/>
        <v>0.47182331808702915</v>
      </c>
      <c r="C265" s="17">
        <f>IF(AND(問題解答データベース!D265&gt;=小テスト!$C$6,D265&lt;=小テスト!$E$6),1,0)</f>
        <v>1</v>
      </c>
      <c r="D265" s="44">
        <f t="shared" si="9"/>
        <v>264</v>
      </c>
      <c r="E265" s="45" t="s">
        <v>429</v>
      </c>
      <c r="F265" s="46" t="s">
        <v>2177</v>
      </c>
    </row>
    <row r="266" spans="1:6" ht="17">
      <c r="A266" s="15">
        <f t="shared" ca="1" si="10"/>
        <v>25</v>
      </c>
      <c r="B266" s="16">
        <f t="shared" ref="B266:B329" ca="1" si="11">IF(C266=1,RAND(),0)</f>
        <v>0.98949681174883719</v>
      </c>
      <c r="C266" s="17">
        <f>IF(AND(問題解答データベース!D266&gt;=小テスト!$C$6,D266&lt;=小テスト!$E$6),1,0)</f>
        <v>1</v>
      </c>
      <c r="D266" s="44">
        <f t="shared" si="9"/>
        <v>265</v>
      </c>
      <c r="E266" s="45" t="s">
        <v>430</v>
      </c>
      <c r="F266" s="46" t="s">
        <v>2178</v>
      </c>
    </row>
    <row r="267" spans="1:6" ht="17">
      <c r="A267" s="15">
        <f t="shared" ca="1" si="10"/>
        <v>1432</v>
      </c>
      <c r="B267" s="16">
        <f t="shared" ca="1" si="11"/>
        <v>0.24675184711290232</v>
      </c>
      <c r="C267" s="17">
        <f>IF(AND(問題解答データベース!D267&gt;=小テスト!$C$6,D267&lt;=小テスト!$E$6),1,0)</f>
        <v>1</v>
      </c>
      <c r="D267" s="44">
        <f t="shared" si="9"/>
        <v>266</v>
      </c>
      <c r="E267" s="45" t="s">
        <v>431</v>
      </c>
      <c r="F267" s="46" t="s">
        <v>2179</v>
      </c>
    </row>
    <row r="268" spans="1:6" ht="17">
      <c r="A268" s="15">
        <f t="shared" ca="1" si="10"/>
        <v>1129</v>
      </c>
      <c r="B268" s="16">
        <f t="shared" ca="1" si="11"/>
        <v>0.40798975965806727</v>
      </c>
      <c r="C268" s="17">
        <f>IF(AND(問題解答データベース!D268&gt;=小テスト!$C$6,D268&lt;=小テスト!$E$6),1,0)</f>
        <v>1</v>
      </c>
      <c r="D268" s="44">
        <f t="shared" si="9"/>
        <v>267</v>
      </c>
      <c r="E268" s="45" t="s">
        <v>432</v>
      </c>
      <c r="F268" s="46" t="s">
        <v>2180</v>
      </c>
    </row>
    <row r="269" spans="1:6" ht="17">
      <c r="A269" s="15">
        <f t="shared" ca="1" si="10"/>
        <v>1685</v>
      </c>
      <c r="B269" s="16">
        <f t="shared" ca="1" si="11"/>
        <v>0.10946745530933577</v>
      </c>
      <c r="C269" s="17">
        <f>IF(AND(問題解答データベース!D269&gt;=小テスト!$C$6,D269&lt;=小テスト!$E$6),1,0)</f>
        <v>1</v>
      </c>
      <c r="D269" s="44">
        <f t="shared" ref="D269:D332" si="12">D268+1</f>
        <v>268</v>
      </c>
      <c r="E269" s="45" t="s">
        <v>433</v>
      </c>
      <c r="F269" s="46" t="s">
        <v>2181</v>
      </c>
    </row>
    <row r="270" spans="1:6" ht="17">
      <c r="A270" s="15">
        <f t="shared" ca="1" si="10"/>
        <v>1190</v>
      </c>
      <c r="B270" s="16">
        <f t="shared" ca="1" si="11"/>
        <v>0.37203250133055843</v>
      </c>
      <c r="C270" s="17">
        <f>IF(AND(問題解答データベース!D270&gt;=小テスト!$C$6,D270&lt;=小テスト!$E$6),1,0)</f>
        <v>1</v>
      </c>
      <c r="D270" s="44">
        <f t="shared" si="12"/>
        <v>269</v>
      </c>
      <c r="E270" s="45" t="s">
        <v>434</v>
      </c>
      <c r="F270" s="46" t="s">
        <v>2182</v>
      </c>
    </row>
    <row r="271" spans="1:6" ht="17">
      <c r="A271" s="15">
        <f t="shared" ca="1" si="10"/>
        <v>583</v>
      </c>
      <c r="B271" s="16">
        <f t="shared" ca="1" si="11"/>
        <v>0.69476920565982214</v>
      </c>
      <c r="C271" s="17">
        <f>IF(AND(問題解答データベース!D271&gt;=小テスト!$C$6,D271&lt;=小テスト!$E$6),1,0)</f>
        <v>1</v>
      </c>
      <c r="D271" s="44">
        <f t="shared" si="12"/>
        <v>270</v>
      </c>
      <c r="E271" s="45" t="s">
        <v>435</v>
      </c>
      <c r="F271" s="46" t="s">
        <v>2183</v>
      </c>
    </row>
    <row r="272" spans="1:6" ht="17">
      <c r="A272" s="15">
        <f t="shared" ca="1" si="10"/>
        <v>619</v>
      </c>
      <c r="B272" s="16">
        <f t="shared" ca="1" si="11"/>
        <v>0.6743044019557819</v>
      </c>
      <c r="C272" s="17">
        <f>IF(AND(問題解答データベース!D272&gt;=小テスト!$C$6,D272&lt;=小テスト!$E$6),1,0)</f>
        <v>1</v>
      </c>
      <c r="D272" s="44">
        <f t="shared" si="12"/>
        <v>271</v>
      </c>
      <c r="E272" s="45" t="s">
        <v>436</v>
      </c>
      <c r="F272" s="46" t="s">
        <v>2184</v>
      </c>
    </row>
    <row r="273" spans="1:6" ht="17">
      <c r="A273" s="15">
        <f t="shared" ca="1" si="10"/>
        <v>234</v>
      </c>
      <c r="B273" s="16">
        <f t="shared" ca="1" si="11"/>
        <v>0.87917221639947729</v>
      </c>
      <c r="C273" s="17">
        <f>IF(AND(問題解答データベース!D273&gt;=小テスト!$C$6,D273&lt;=小テスト!$E$6),1,0)</f>
        <v>1</v>
      </c>
      <c r="D273" s="44">
        <f t="shared" si="12"/>
        <v>272</v>
      </c>
      <c r="E273" s="45" t="s">
        <v>437</v>
      </c>
      <c r="F273" s="46" t="s">
        <v>2185</v>
      </c>
    </row>
    <row r="274" spans="1:6" ht="17">
      <c r="A274" s="15">
        <f t="shared" ca="1" si="10"/>
        <v>551</v>
      </c>
      <c r="B274" s="16">
        <f t="shared" ca="1" si="11"/>
        <v>0.7125764445952576</v>
      </c>
      <c r="C274" s="17">
        <f>IF(AND(問題解答データベース!D274&gt;=小テスト!$C$6,D274&lt;=小テスト!$E$6),1,0)</f>
        <v>1</v>
      </c>
      <c r="D274" s="44">
        <f t="shared" si="12"/>
        <v>273</v>
      </c>
      <c r="E274" s="45" t="s">
        <v>438</v>
      </c>
      <c r="F274" s="46" t="s">
        <v>2186</v>
      </c>
    </row>
    <row r="275" spans="1:6" ht="17">
      <c r="A275" s="15">
        <f t="shared" ca="1" si="10"/>
        <v>593</v>
      </c>
      <c r="B275" s="16">
        <f t="shared" ca="1" si="11"/>
        <v>0.68723874835258836</v>
      </c>
      <c r="C275" s="17">
        <f>IF(AND(問題解答データベース!D275&gt;=小テスト!$C$6,D275&lt;=小テスト!$E$6),1,0)</f>
        <v>1</v>
      </c>
      <c r="D275" s="44">
        <f t="shared" si="12"/>
        <v>274</v>
      </c>
      <c r="E275" s="45" t="s">
        <v>439</v>
      </c>
      <c r="F275" s="46" t="s">
        <v>2187</v>
      </c>
    </row>
    <row r="276" spans="1:6" ht="17">
      <c r="A276" s="15">
        <f t="shared" ca="1" si="10"/>
        <v>535</v>
      </c>
      <c r="B276" s="16">
        <f t="shared" ca="1" si="11"/>
        <v>0.72230292461939904</v>
      </c>
      <c r="C276" s="17">
        <f>IF(AND(問題解答データベース!D276&gt;=小テスト!$C$6,D276&lt;=小テスト!$E$6),1,0)</f>
        <v>1</v>
      </c>
      <c r="D276" s="44">
        <f t="shared" si="12"/>
        <v>275</v>
      </c>
      <c r="E276" s="45" t="s">
        <v>440</v>
      </c>
      <c r="F276" s="46" t="s">
        <v>2188</v>
      </c>
    </row>
    <row r="277" spans="1:6" ht="17">
      <c r="A277" s="15">
        <f t="shared" ca="1" si="10"/>
        <v>775</v>
      </c>
      <c r="B277" s="16">
        <f t="shared" ca="1" si="11"/>
        <v>0.59129634264924913</v>
      </c>
      <c r="C277" s="17">
        <f>IF(AND(問題解答データベース!D277&gt;=小テスト!$C$6,D277&lt;=小テスト!$E$6),1,0)</f>
        <v>1</v>
      </c>
      <c r="D277" s="44">
        <f t="shared" si="12"/>
        <v>276</v>
      </c>
      <c r="E277" s="45" t="s">
        <v>441</v>
      </c>
      <c r="F277" s="46" t="s">
        <v>2189</v>
      </c>
    </row>
    <row r="278" spans="1:6" ht="17">
      <c r="A278" s="15">
        <f t="shared" ca="1" si="10"/>
        <v>351</v>
      </c>
      <c r="B278" s="16">
        <f t="shared" ca="1" si="11"/>
        <v>0.81194817362490979</v>
      </c>
      <c r="C278" s="17">
        <f>IF(AND(問題解答データベース!D278&gt;=小テスト!$C$6,D278&lt;=小テスト!$E$6),1,0)</f>
        <v>1</v>
      </c>
      <c r="D278" s="44">
        <f t="shared" si="12"/>
        <v>277</v>
      </c>
      <c r="E278" s="45" t="s">
        <v>442</v>
      </c>
      <c r="F278" s="46" t="s">
        <v>2190</v>
      </c>
    </row>
    <row r="279" spans="1:6" ht="17">
      <c r="A279" s="15">
        <f t="shared" ca="1" si="10"/>
        <v>1705</v>
      </c>
      <c r="B279" s="16">
        <f t="shared" ca="1" si="11"/>
        <v>9.8335475725287225E-2</v>
      </c>
      <c r="C279" s="17">
        <f>IF(AND(問題解答データベース!D279&gt;=小テスト!$C$6,D279&lt;=小テスト!$E$6),1,0)</f>
        <v>1</v>
      </c>
      <c r="D279" s="44">
        <f t="shared" si="12"/>
        <v>278</v>
      </c>
      <c r="E279" s="45" t="s">
        <v>443</v>
      </c>
      <c r="F279" s="46" t="s">
        <v>2191</v>
      </c>
    </row>
    <row r="280" spans="1:6" ht="17">
      <c r="A280" s="15">
        <f t="shared" ca="1" si="10"/>
        <v>492</v>
      </c>
      <c r="B280" s="16">
        <f t="shared" ca="1" si="11"/>
        <v>0.74411972324126496</v>
      </c>
      <c r="C280" s="17">
        <f>IF(AND(問題解答データベース!D280&gt;=小テスト!$C$6,D280&lt;=小テスト!$E$6),1,0)</f>
        <v>1</v>
      </c>
      <c r="D280" s="44">
        <f t="shared" si="12"/>
        <v>279</v>
      </c>
      <c r="E280" s="45" t="s">
        <v>444</v>
      </c>
      <c r="F280" s="46" t="s">
        <v>2192</v>
      </c>
    </row>
    <row r="281" spans="1:6" ht="17">
      <c r="A281" s="15">
        <f t="shared" ca="1" si="10"/>
        <v>945</v>
      </c>
      <c r="B281" s="16">
        <f t="shared" ca="1" si="11"/>
        <v>0.50245853300119558</v>
      </c>
      <c r="C281" s="17">
        <f>IF(AND(問題解答データベース!D281&gt;=小テスト!$C$6,D281&lt;=小テスト!$E$6),1,0)</f>
        <v>1</v>
      </c>
      <c r="D281" s="44">
        <f t="shared" si="12"/>
        <v>280</v>
      </c>
      <c r="E281" s="45" t="s">
        <v>445</v>
      </c>
      <c r="F281" s="46" t="s">
        <v>2193</v>
      </c>
    </row>
    <row r="282" spans="1:6" ht="17">
      <c r="A282" s="15">
        <f t="shared" ca="1" si="10"/>
        <v>192</v>
      </c>
      <c r="B282" s="16">
        <f t="shared" ca="1" si="11"/>
        <v>0.907450236144974</v>
      </c>
      <c r="C282" s="17">
        <f>IF(AND(問題解答データベース!D282&gt;=小テスト!$C$6,D282&lt;=小テスト!$E$6),1,0)</f>
        <v>1</v>
      </c>
      <c r="D282" s="44">
        <f t="shared" si="12"/>
        <v>281</v>
      </c>
      <c r="E282" s="45" t="s">
        <v>446</v>
      </c>
      <c r="F282" s="46" t="s">
        <v>2194</v>
      </c>
    </row>
    <row r="283" spans="1:6" ht="17">
      <c r="A283" s="15">
        <f t="shared" ca="1" si="10"/>
        <v>1457</v>
      </c>
      <c r="B283" s="16">
        <f t="shared" ca="1" si="11"/>
        <v>0.22882759312636225</v>
      </c>
      <c r="C283" s="17">
        <f>IF(AND(問題解答データベース!D283&gt;=小テスト!$C$6,D283&lt;=小テスト!$E$6),1,0)</f>
        <v>1</v>
      </c>
      <c r="D283" s="44">
        <f t="shared" si="12"/>
        <v>282</v>
      </c>
      <c r="E283" s="45" t="s">
        <v>447</v>
      </c>
      <c r="F283" s="46" t="s">
        <v>2195</v>
      </c>
    </row>
    <row r="284" spans="1:6" ht="17">
      <c r="A284" s="15">
        <f t="shared" ca="1" si="10"/>
        <v>1558</v>
      </c>
      <c r="B284" s="16">
        <f t="shared" ca="1" si="11"/>
        <v>0.17406782806697152</v>
      </c>
      <c r="C284" s="17">
        <f>IF(AND(問題解答データベース!D284&gt;=小テスト!$C$6,D284&lt;=小テスト!$E$6),1,0)</f>
        <v>1</v>
      </c>
      <c r="D284" s="44">
        <f t="shared" si="12"/>
        <v>283</v>
      </c>
      <c r="E284" s="45" t="s">
        <v>448</v>
      </c>
      <c r="F284" s="46" t="s">
        <v>2196</v>
      </c>
    </row>
    <row r="285" spans="1:6" ht="17">
      <c r="A285" s="15">
        <f t="shared" ca="1" si="10"/>
        <v>108</v>
      </c>
      <c r="B285" s="16">
        <f t="shared" ca="1" si="11"/>
        <v>0.95013231720839308</v>
      </c>
      <c r="C285" s="17">
        <f>IF(AND(問題解答データベース!D285&gt;=小テスト!$C$6,D285&lt;=小テスト!$E$6),1,0)</f>
        <v>1</v>
      </c>
      <c r="D285" s="44">
        <f t="shared" si="12"/>
        <v>284</v>
      </c>
      <c r="E285" s="45" t="s">
        <v>449</v>
      </c>
      <c r="F285" s="46" t="s">
        <v>2197</v>
      </c>
    </row>
    <row r="286" spans="1:6" ht="17">
      <c r="A286" s="15">
        <f t="shared" ca="1" si="10"/>
        <v>1449</v>
      </c>
      <c r="B286" s="16">
        <f t="shared" ca="1" si="11"/>
        <v>0.236873798158722</v>
      </c>
      <c r="C286" s="17">
        <f>IF(AND(問題解答データベース!D286&gt;=小テスト!$C$6,D286&lt;=小テスト!$E$6),1,0)</f>
        <v>1</v>
      </c>
      <c r="D286" s="44">
        <f t="shared" si="12"/>
        <v>285</v>
      </c>
      <c r="E286" s="45" t="s">
        <v>450</v>
      </c>
      <c r="F286" s="46" t="s">
        <v>2198</v>
      </c>
    </row>
    <row r="287" spans="1:6" ht="17">
      <c r="A287" s="15">
        <f t="shared" ca="1" si="10"/>
        <v>683</v>
      </c>
      <c r="B287" s="16">
        <f t="shared" ca="1" si="11"/>
        <v>0.63900443350582514</v>
      </c>
      <c r="C287" s="17">
        <f>IF(AND(問題解答データベース!D287&gt;=小テスト!$C$6,D287&lt;=小テスト!$E$6),1,0)</f>
        <v>1</v>
      </c>
      <c r="D287" s="44">
        <f t="shared" si="12"/>
        <v>286</v>
      </c>
      <c r="E287" s="45" t="s">
        <v>451</v>
      </c>
      <c r="F287" s="46" t="s">
        <v>2199</v>
      </c>
    </row>
    <row r="288" spans="1:6" ht="17">
      <c r="A288" s="15">
        <f t="shared" ca="1" si="10"/>
        <v>1156</v>
      </c>
      <c r="B288" s="16">
        <f t="shared" ca="1" si="11"/>
        <v>0.3934472643844884</v>
      </c>
      <c r="C288" s="17">
        <f>IF(AND(問題解答データベース!D288&gt;=小テスト!$C$6,D288&lt;=小テスト!$E$6),1,0)</f>
        <v>1</v>
      </c>
      <c r="D288" s="44">
        <f t="shared" si="12"/>
        <v>287</v>
      </c>
      <c r="E288" s="45" t="s">
        <v>452</v>
      </c>
      <c r="F288" s="46" t="s">
        <v>2200</v>
      </c>
    </row>
    <row r="289" spans="1:6" ht="17">
      <c r="A289" s="15">
        <f t="shared" ca="1" si="10"/>
        <v>1275</v>
      </c>
      <c r="B289" s="16">
        <f t="shared" ca="1" si="11"/>
        <v>0.33508251641397624</v>
      </c>
      <c r="C289" s="17">
        <f>IF(AND(問題解答データベース!D289&gt;=小テスト!$C$6,D289&lt;=小テスト!$E$6),1,0)</f>
        <v>1</v>
      </c>
      <c r="D289" s="44">
        <f t="shared" si="12"/>
        <v>288</v>
      </c>
      <c r="E289" s="45" t="s">
        <v>453</v>
      </c>
      <c r="F289" s="46" t="s">
        <v>2201</v>
      </c>
    </row>
    <row r="290" spans="1:6" ht="17">
      <c r="A290" s="15">
        <f t="shared" ca="1" si="10"/>
        <v>528</v>
      </c>
      <c r="B290" s="16">
        <f t="shared" ca="1" si="11"/>
        <v>0.72600351536785179</v>
      </c>
      <c r="C290" s="17">
        <f>IF(AND(問題解答データベース!D290&gt;=小テスト!$C$6,D290&lt;=小テスト!$E$6),1,0)</f>
        <v>1</v>
      </c>
      <c r="D290" s="44">
        <f t="shared" si="12"/>
        <v>289</v>
      </c>
      <c r="E290" s="45" t="s">
        <v>454</v>
      </c>
      <c r="F290" s="46" t="s">
        <v>2202</v>
      </c>
    </row>
    <row r="291" spans="1:6" ht="17">
      <c r="A291" s="15">
        <f t="shared" ca="1" si="10"/>
        <v>380</v>
      </c>
      <c r="B291" s="16">
        <f t="shared" ca="1" si="11"/>
        <v>0.79668736721126288</v>
      </c>
      <c r="C291" s="17">
        <f>IF(AND(問題解答データベース!D291&gt;=小テスト!$C$6,D291&lt;=小テスト!$E$6),1,0)</f>
        <v>1</v>
      </c>
      <c r="D291" s="44">
        <f t="shared" si="12"/>
        <v>290</v>
      </c>
      <c r="E291" s="45" t="s">
        <v>455</v>
      </c>
      <c r="F291" s="46" t="s">
        <v>2203</v>
      </c>
    </row>
    <row r="292" spans="1:6" ht="17">
      <c r="A292" s="15">
        <f t="shared" ca="1" si="10"/>
        <v>1291</v>
      </c>
      <c r="B292" s="16">
        <f t="shared" ca="1" si="11"/>
        <v>0.32511667664181787</v>
      </c>
      <c r="C292" s="17">
        <f>IF(AND(問題解答データベース!D292&gt;=小テスト!$C$6,D292&lt;=小テスト!$E$6),1,0)</f>
        <v>1</v>
      </c>
      <c r="D292" s="44">
        <f t="shared" si="12"/>
        <v>291</v>
      </c>
      <c r="E292" s="45" t="s">
        <v>456</v>
      </c>
      <c r="F292" s="46" t="s">
        <v>2204</v>
      </c>
    </row>
    <row r="293" spans="1:6" ht="17">
      <c r="A293" s="15">
        <f t="shared" ca="1" si="10"/>
        <v>1553</v>
      </c>
      <c r="B293" s="16">
        <f t="shared" ca="1" si="11"/>
        <v>0.17803220329436664</v>
      </c>
      <c r="C293" s="17">
        <f>IF(AND(問題解答データベース!D293&gt;=小テスト!$C$6,D293&lt;=小テスト!$E$6),1,0)</f>
        <v>1</v>
      </c>
      <c r="D293" s="44">
        <f t="shared" si="12"/>
        <v>292</v>
      </c>
      <c r="E293" s="45" t="b">
        <v>0</v>
      </c>
      <c r="F293" s="46" t="s">
        <v>2205</v>
      </c>
    </row>
    <row r="294" spans="1:6" ht="17">
      <c r="A294" s="15">
        <f t="shared" ca="1" si="10"/>
        <v>1293</v>
      </c>
      <c r="B294" s="16">
        <f t="shared" ca="1" si="11"/>
        <v>0.32502586860863181</v>
      </c>
      <c r="C294" s="17">
        <f>IF(AND(問題解答データベース!D294&gt;=小テスト!$C$6,D294&lt;=小テスト!$E$6),1,0)</f>
        <v>1</v>
      </c>
      <c r="D294" s="44">
        <f t="shared" si="12"/>
        <v>293</v>
      </c>
      <c r="E294" s="45" t="s">
        <v>457</v>
      </c>
      <c r="F294" s="46" t="s">
        <v>2206</v>
      </c>
    </row>
    <row r="295" spans="1:6" ht="17">
      <c r="A295" s="15">
        <f t="shared" ca="1" si="10"/>
        <v>97</v>
      </c>
      <c r="B295" s="16">
        <f t="shared" ca="1" si="11"/>
        <v>0.95346268105893395</v>
      </c>
      <c r="C295" s="17">
        <f>IF(AND(問題解答データベース!D295&gt;=小テスト!$C$6,D295&lt;=小テスト!$E$6),1,0)</f>
        <v>1</v>
      </c>
      <c r="D295" s="44">
        <f t="shared" si="12"/>
        <v>294</v>
      </c>
      <c r="E295" s="45" t="s">
        <v>458</v>
      </c>
      <c r="F295" s="46" t="s">
        <v>2207</v>
      </c>
    </row>
    <row r="296" spans="1:6" ht="17">
      <c r="A296" s="15">
        <f t="shared" ca="1" si="10"/>
        <v>355</v>
      </c>
      <c r="B296" s="16">
        <f t="shared" ca="1" si="11"/>
        <v>0.8089954605207087</v>
      </c>
      <c r="C296" s="17">
        <f>IF(AND(問題解答データベース!D296&gt;=小テスト!$C$6,D296&lt;=小テスト!$E$6),1,0)</f>
        <v>1</v>
      </c>
      <c r="D296" s="44">
        <f t="shared" si="12"/>
        <v>295</v>
      </c>
      <c r="E296" s="45" t="s">
        <v>459</v>
      </c>
      <c r="F296" s="46" t="s">
        <v>2208</v>
      </c>
    </row>
    <row r="297" spans="1:6" ht="17">
      <c r="A297" s="15">
        <f t="shared" ca="1" si="10"/>
        <v>1262</v>
      </c>
      <c r="B297" s="16">
        <f t="shared" ca="1" si="11"/>
        <v>0.34417179721023927</v>
      </c>
      <c r="C297" s="17">
        <f>IF(AND(問題解答データベース!D297&gt;=小テスト!$C$6,D297&lt;=小テスト!$E$6),1,0)</f>
        <v>1</v>
      </c>
      <c r="D297" s="44">
        <f t="shared" si="12"/>
        <v>296</v>
      </c>
      <c r="E297" s="45" t="s">
        <v>460</v>
      </c>
      <c r="F297" s="46" t="s">
        <v>2209</v>
      </c>
    </row>
    <row r="298" spans="1:6" ht="17">
      <c r="A298" s="15">
        <f t="shared" ca="1" si="10"/>
        <v>526</v>
      </c>
      <c r="B298" s="16">
        <f t="shared" ca="1" si="11"/>
        <v>0.72702324119123052</v>
      </c>
      <c r="C298" s="17">
        <f>IF(AND(問題解答データベース!D298&gt;=小テスト!$C$6,D298&lt;=小テスト!$E$6),1,0)</f>
        <v>1</v>
      </c>
      <c r="D298" s="44">
        <f t="shared" si="12"/>
        <v>297</v>
      </c>
      <c r="E298" s="45" t="s">
        <v>461</v>
      </c>
      <c r="F298" s="46" t="s">
        <v>2210</v>
      </c>
    </row>
    <row r="299" spans="1:6" ht="17">
      <c r="A299" s="15">
        <f t="shared" ca="1" si="10"/>
        <v>81</v>
      </c>
      <c r="B299" s="16">
        <f t="shared" ca="1" si="11"/>
        <v>0.96247178773144348</v>
      </c>
      <c r="C299" s="17">
        <f>IF(AND(問題解答データベース!D299&gt;=小テスト!$C$6,D299&lt;=小テスト!$E$6),1,0)</f>
        <v>1</v>
      </c>
      <c r="D299" s="44">
        <f t="shared" si="12"/>
        <v>298</v>
      </c>
      <c r="E299" s="45" t="s">
        <v>462</v>
      </c>
      <c r="F299" s="46" t="s">
        <v>2211</v>
      </c>
    </row>
    <row r="300" spans="1:6" ht="17">
      <c r="A300" s="15">
        <f t="shared" ca="1" si="10"/>
        <v>1794</v>
      </c>
      <c r="B300" s="16">
        <f t="shared" ca="1" si="11"/>
        <v>5.1230502593500038E-2</v>
      </c>
      <c r="C300" s="17">
        <f>IF(AND(問題解答データベース!D300&gt;=小テスト!$C$6,D300&lt;=小テスト!$E$6),1,0)</f>
        <v>1</v>
      </c>
      <c r="D300" s="44">
        <f t="shared" si="12"/>
        <v>299</v>
      </c>
      <c r="E300" s="45" t="s">
        <v>463</v>
      </c>
      <c r="F300" s="46" t="s">
        <v>2212</v>
      </c>
    </row>
    <row r="301" spans="1:6" ht="17">
      <c r="A301" s="15">
        <f t="shared" ca="1" si="10"/>
        <v>776</v>
      </c>
      <c r="B301" s="16">
        <f t="shared" ca="1" si="11"/>
        <v>0.5907907288018508</v>
      </c>
      <c r="C301" s="17">
        <f>IF(AND(問題解答データベース!D301&gt;=小テスト!$C$6,D301&lt;=小テスト!$E$6),1,0)</f>
        <v>1</v>
      </c>
      <c r="D301" s="44">
        <f t="shared" si="12"/>
        <v>300</v>
      </c>
      <c r="E301" s="45" t="s">
        <v>464</v>
      </c>
      <c r="F301" s="46" t="s">
        <v>2213</v>
      </c>
    </row>
    <row r="302" spans="1:6" ht="17">
      <c r="A302" s="15">
        <f t="shared" ca="1" si="10"/>
        <v>1755</v>
      </c>
      <c r="B302" s="16">
        <f t="shared" ca="1" si="11"/>
        <v>7.1444556002416393E-2</v>
      </c>
      <c r="C302" s="17">
        <f>IF(AND(問題解答データベース!D302&gt;=小テスト!$C$6,D302&lt;=小テスト!$E$6),1,0)</f>
        <v>1</v>
      </c>
      <c r="D302" s="44">
        <f t="shared" si="12"/>
        <v>301</v>
      </c>
      <c r="E302" s="45" t="s">
        <v>465</v>
      </c>
      <c r="F302" s="46" t="s">
        <v>2214</v>
      </c>
    </row>
    <row r="303" spans="1:6" ht="17">
      <c r="A303" s="15">
        <f t="shared" ca="1" si="10"/>
        <v>877</v>
      </c>
      <c r="B303" s="16">
        <f t="shared" ca="1" si="11"/>
        <v>0.53358048027835536</v>
      </c>
      <c r="C303" s="17">
        <f>IF(AND(問題解答データベース!D303&gt;=小テスト!$C$6,D303&lt;=小テスト!$E$6),1,0)</f>
        <v>1</v>
      </c>
      <c r="D303" s="44">
        <f t="shared" si="12"/>
        <v>302</v>
      </c>
      <c r="E303" s="45" t="s">
        <v>466</v>
      </c>
      <c r="F303" s="46" t="s">
        <v>2215</v>
      </c>
    </row>
    <row r="304" spans="1:6" ht="17">
      <c r="A304" s="15">
        <f t="shared" ca="1" si="10"/>
        <v>1473</v>
      </c>
      <c r="B304" s="16">
        <f t="shared" ca="1" si="11"/>
        <v>0.22120327673981044</v>
      </c>
      <c r="C304" s="17">
        <f>IF(AND(問題解答データベース!D304&gt;=小テスト!$C$6,D304&lt;=小テスト!$E$6),1,0)</f>
        <v>1</v>
      </c>
      <c r="D304" s="44">
        <f t="shared" si="12"/>
        <v>303</v>
      </c>
      <c r="E304" s="45" t="s">
        <v>467</v>
      </c>
      <c r="F304" s="46" t="s">
        <v>2216</v>
      </c>
    </row>
    <row r="305" spans="1:6" ht="17">
      <c r="A305" s="15">
        <f t="shared" ca="1" si="10"/>
        <v>694</v>
      </c>
      <c r="B305" s="16">
        <f t="shared" ca="1" si="11"/>
        <v>0.62978159610257878</v>
      </c>
      <c r="C305" s="17">
        <f>IF(AND(問題解答データベース!D305&gt;=小テスト!$C$6,D305&lt;=小テスト!$E$6),1,0)</f>
        <v>1</v>
      </c>
      <c r="D305" s="44">
        <f t="shared" si="12"/>
        <v>304</v>
      </c>
      <c r="E305" s="45" t="s">
        <v>468</v>
      </c>
      <c r="F305" s="46" t="s">
        <v>2217</v>
      </c>
    </row>
    <row r="306" spans="1:6" ht="17">
      <c r="A306" s="15">
        <f t="shared" ca="1" si="10"/>
        <v>1021</v>
      </c>
      <c r="B306" s="16">
        <f t="shared" ca="1" si="11"/>
        <v>0.47100432128475322</v>
      </c>
      <c r="C306" s="17">
        <f>IF(AND(問題解答データベース!D306&gt;=小テスト!$C$6,D306&lt;=小テスト!$E$6),1,0)</f>
        <v>1</v>
      </c>
      <c r="D306" s="44">
        <f t="shared" si="12"/>
        <v>305</v>
      </c>
      <c r="E306" s="45" t="s">
        <v>469</v>
      </c>
      <c r="F306" s="46" t="s">
        <v>2218</v>
      </c>
    </row>
    <row r="307" spans="1:6" ht="17">
      <c r="A307" s="15">
        <f t="shared" ca="1" si="10"/>
        <v>388</v>
      </c>
      <c r="B307" s="16">
        <f t="shared" ca="1" si="11"/>
        <v>0.79138613143329473</v>
      </c>
      <c r="C307" s="17">
        <f>IF(AND(問題解答データベース!D307&gt;=小テスト!$C$6,D307&lt;=小テスト!$E$6),1,0)</f>
        <v>1</v>
      </c>
      <c r="D307" s="44">
        <f t="shared" si="12"/>
        <v>306</v>
      </c>
      <c r="E307" s="45" t="s">
        <v>470</v>
      </c>
      <c r="F307" s="46" t="s">
        <v>2219</v>
      </c>
    </row>
    <row r="308" spans="1:6" ht="17">
      <c r="A308" s="15">
        <f t="shared" ca="1" si="10"/>
        <v>1405</v>
      </c>
      <c r="B308" s="16">
        <f t="shared" ca="1" si="11"/>
        <v>0.26354326642613157</v>
      </c>
      <c r="C308" s="17">
        <f>IF(AND(問題解答データベース!D308&gt;=小テスト!$C$6,D308&lt;=小テスト!$E$6),1,0)</f>
        <v>1</v>
      </c>
      <c r="D308" s="44">
        <f t="shared" si="12"/>
        <v>307</v>
      </c>
      <c r="E308" s="45" t="s">
        <v>471</v>
      </c>
      <c r="F308" s="46" t="s">
        <v>2220</v>
      </c>
    </row>
    <row r="309" spans="1:6" ht="17">
      <c r="A309" s="15">
        <f t="shared" ca="1" si="10"/>
        <v>1843</v>
      </c>
      <c r="B309" s="16">
        <f t="shared" ca="1" si="11"/>
        <v>2.8381732950889527E-2</v>
      </c>
      <c r="C309" s="17">
        <f>IF(AND(問題解答データベース!D309&gt;=小テスト!$C$6,D309&lt;=小テスト!$E$6),1,0)</f>
        <v>1</v>
      </c>
      <c r="D309" s="44">
        <f t="shared" si="12"/>
        <v>308</v>
      </c>
      <c r="E309" s="45" t="s">
        <v>472</v>
      </c>
      <c r="F309" s="46" t="s">
        <v>2221</v>
      </c>
    </row>
    <row r="310" spans="1:6" ht="17">
      <c r="A310" s="15">
        <f t="shared" ca="1" si="10"/>
        <v>816</v>
      </c>
      <c r="B310" s="16">
        <f t="shared" ca="1" si="11"/>
        <v>0.56549134450014216</v>
      </c>
      <c r="C310" s="17">
        <f>IF(AND(問題解答データベース!D310&gt;=小テスト!$C$6,D310&lt;=小テスト!$E$6),1,0)</f>
        <v>1</v>
      </c>
      <c r="D310" s="44">
        <f t="shared" si="12"/>
        <v>309</v>
      </c>
      <c r="E310" s="45" t="s">
        <v>473</v>
      </c>
      <c r="F310" s="46" t="s">
        <v>2222</v>
      </c>
    </row>
    <row r="311" spans="1:6" ht="17">
      <c r="A311" s="15">
        <f t="shared" ca="1" si="10"/>
        <v>818</v>
      </c>
      <c r="B311" s="16">
        <f t="shared" ca="1" si="11"/>
        <v>0.56523395771638296</v>
      </c>
      <c r="C311" s="17">
        <f>IF(AND(問題解答データベース!D311&gt;=小テスト!$C$6,D311&lt;=小テスト!$E$6),1,0)</f>
        <v>1</v>
      </c>
      <c r="D311" s="44">
        <f t="shared" si="12"/>
        <v>310</v>
      </c>
      <c r="E311" s="45" t="s">
        <v>474</v>
      </c>
      <c r="F311" s="46" t="s">
        <v>2223</v>
      </c>
    </row>
    <row r="312" spans="1:6" ht="17">
      <c r="A312" s="15">
        <f t="shared" ca="1" si="10"/>
        <v>1511</v>
      </c>
      <c r="B312" s="16">
        <f t="shared" ca="1" si="11"/>
        <v>0.1968970049118145</v>
      </c>
      <c r="C312" s="17">
        <f>IF(AND(問題解答データベース!D312&gt;=小テスト!$C$6,D312&lt;=小テスト!$E$6),1,0)</f>
        <v>1</v>
      </c>
      <c r="D312" s="44">
        <f t="shared" si="12"/>
        <v>311</v>
      </c>
      <c r="E312" s="45" t="s">
        <v>475</v>
      </c>
      <c r="F312" s="46" t="s">
        <v>2224</v>
      </c>
    </row>
    <row r="313" spans="1:6" ht="17">
      <c r="A313" s="15">
        <f t="shared" ca="1" si="10"/>
        <v>1887</v>
      </c>
      <c r="B313" s="16">
        <f t="shared" ca="1" si="11"/>
        <v>6.1457303388926521E-3</v>
      </c>
      <c r="C313" s="17">
        <f>IF(AND(問題解答データベース!D313&gt;=小テスト!$C$6,D313&lt;=小テスト!$E$6),1,0)</f>
        <v>1</v>
      </c>
      <c r="D313" s="44">
        <f t="shared" si="12"/>
        <v>312</v>
      </c>
      <c r="E313" s="45" t="s">
        <v>476</v>
      </c>
      <c r="F313" s="46" t="s">
        <v>2225</v>
      </c>
    </row>
    <row r="314" spans="1:6" ht="17">
      <c r="A314" s="15">
        <f t="shared" ca="1" si="10"/>
        <v>1519</v>
      </c>
      <c r="B314" s="16">
        <f t="shared" ca="1" si="11"/>
        <v>0.19310699942751863</v>
      </c>
      <c r="C314" s="17">
        <f>IF(AND(問題解答データベース!D314&gt;=小テスト!$C$6,D314&lt;=小テスト!$E$6),1,0)</f>
        <v>1</v>
      </c>
      <c r="D314" s="44">
        <f t="shared" si="12"/>
        <v>313</v>
      </c>
      <c r="E314" s="45" t="s">
        <v>477</v>
      </c>
      <c r="F314" s="46" t="s">
        <v>2226</v>
      </c>
    </row>
    <row r="315" spans="1:6" ht="17">
      <c r="A315" s="15">
        <f t="shared" ca="1" si="10"/>
        <v>281</v>
      </c>
      <c r="B315" s="16">
        <f t="shared" ca="1" si="11"/>
        <v>0.85476943532048366</v>
      </c>
      <c r="C315" s="17">
        <f>IF(AND(問題解答データベース!D315&gt;=小テスト!$C$6,D315&lt;=小テスト!$E$6),1,0)</f>
        <v>1</v>
      </c>
      <c r="D315" s="44">
        <f t="shared" si="12"/>
        <v>314</v>
      </c>
      <c r="E315" s="45" t="s">
        <v>478</v>
      </c>
      <c r="F315" s="46" t="s">
        <v>2227</v>
      </c>
    </row>
    <row r="316" spans="1:6" ht="17">
      <c r="A316" s="15">
        <f t="shared" ca="1" si="10"/>
        <v>942</v>
      </c>
      <c r="B316" s="16">
        <f t="shared" ca="1" si="11"/>
        <v>0.50409933939096618</v>
      </c>
      <c r="C316" s="17">
        <f>IF(AND(問題解答データベース!D316&gt;=小テスト!$C$6,D316&lt;=小テスト!$E$6),1,0)</f>
        <v>1</v>
      </c>
      <c r="D316" s="44">
        <f t="shared" si="12"/>
        <v>315</v>
      </c>
      <c r="E316" s="45" t="s">
        <v>479</v>
      </c>
      <c r="F316" s="46" t="s">
        <v>2228</v>
      </c>
    </row>
    <row r="317" spans="1:6" ht="17">
      <c r="A317" s="15">
        <f t="shared" ca="1" si="10"/>
        <v>1735</v>
      </c>
      <c r="B317" s="16">
        <f t="shared" ca="1" si="11"/>
        <v>8.1651517072412916E-2</v>
      </c>
      <c r="C317" s="17">
        <f>IF(AND(問題解答データベース!D317&gt;=小テスト!$C$6,D317&lt;=小テスト!$E$6),1,0)</f>
        <v>1</v>
      </c>
      <c r="D317" s="44">
        <f t="shared" si="12"/>
        <v>316</v>
      </c>
      <c r="E317" s="45" t="s">
        <v>480</v>
      </c>
      <c r="F317" s="46" t="s">
        <v>2229</v>
      </c>
    </row>
    <row r="318" spans="1:6" ht="17">
      <c r="A318" s="15">
        <f t="shared" ca="1" si="10"/>
        <v>1361</v>
      </c>
      <c r="B318" s="16">
        <f t="shared" ca="1" si="11"/>
        <v>0.28809942798232147</v>
      </c>
      <c r="C318" s="17">
        <f>IF(AND(問題解答データベース!D318&gt;=小テスト!$C$6,D318&lt;=小テスト!$E$6),1,0)</f>
        <v>1</v>
      </c>
      <c r="D318" s="44">
        <f t="shared" si="12"/>
        <v>317</v>
      </c>
      <c r="E318" s="45" t="s">
        <v>481</v>
      </c>
      <c r="F318" s="46" t="s">
        <v>2230</v>
      </c>
    </row>
    <row r="319" spans="1:6" ht="17">
      <c r="A319" s="15">
        <f t="shared" ca="1" si="10"/>
        <v>326</v>
      </c>
      <c r="B319" s="16">
        <f t="shared" ca="1" si="11"/>
        <v>0.82489286710607068</v>
      </c>
      <c r="C319" s="17">
        <f>IF(AND(問題解答データベース!D319&gt;=小テスト!$C$6,D319&lt;=小テスト!$E$6),1,0)</f>
        <v>1</v>
      </c>
      <c r="D319" s="44">
        <f t="shared" si="12"/>
        <v>318</v>
      </c>
      <c r="E319" s="45" t="s">
        <v>482</v>
      </c>
      <c r="F319" s="46" t="s">
        <v>2231</v>
      </c>
    </row>
    <row r="320" spans="1:6" ht="17">
      <c r="A320" s="15">
        <f t="shared" ca="1" si="10"/>
        <v>874</v>
      </c>
      <c r="B320" s="16">
        <f t="shared" ca="1" si="11"/>
        <v>0.53538818939332011</v>
      </c>
      <c r="C320" s="17">
        <f>IF(AND(問題解答データベース!D320&gt;=小テスト!$C$6,D320&lt;=小テスト!$E$6),1,0)</f>
        <v>1</v>
      </c>
      <c r="D320" s="44">
        <f t="shared" si="12"/>
        <v>319</v>
      </c>
      <c r="E320" s="45" t="s">
        <v>483</v>
      </c>
      <c r="F320" s="46" t="s">
        <v>2232</v>
      </c>
    </row>
    <row r="321" spans="1:6" ht="17">
      <c r="A321" s="15">
        <f t="shared" ca="1" si="10"/>
        <v>802</v>
      </c>
      <c r="B321" s="16">
        <f t="shared" ca="1" si="11"/>
        <v>0.57498176881649443</v>
      </c>
      <c r="C321" s="17">
        <f>IF(AND(問題解答データベース!D321&gt;=小テスト!$C$6,D321&lt;=小テスト!$E$6),1,0)</f>
        <v>1</v>
      </c>
      <c r="D321" s="44">
        <f t="shared" si="12"/>
        <v>320</v>
      </c>
      <c r="E321" s="45" t="s">
        <v>484</v>
      </c>
      <c r="F321" s="46" t="s">
        <v>2233</v>
      </c>
    </row>
    <row r="322" spans="1:6" ht="17">
      <c r="A322" s="15">
        <f t="shared" ca="1" si="10"/>
        <v>1715</v>
      </c>
      <c r="B322" s="16">
        <f t="shared" ca="1" si="11"/>
        <v>9.0820475461099948E-2</v>
      </c>
      <c r="C322" s="17">
        <f>IF(AND(問題解答データベース!D322&gt;=小テスト!$C$6,D322&lt;=小テスト!$E$6),1,0)</f>
        <v>1</v>
      </c>
      <c r="D322" s="44">
        <f t="shared" si="12"/>
        <v>321</v>
      </c>
      <c r="E322" s="45" t="s">
        <v>485</v>
      </c>
      <c r="F322" s="46" t="s">
        <v>2234</v>
      </c>
    </row>
    <row r="323" spans="1:6" ht="17">
      <c r="A323" s="15">
        <f t="shared" ref="A323:A386" ca="1" si="13">RANK(B323,$B$2:$B$1901,0)</f>
        <v>1617</v>
      </c>
      <c r="B323" s="16">
        <f t="shared" ca="1" si="11"/>
        <v>0.14943200125869305</v>
      </c>
      <c r="C323" s="17">
        <f>IF(AND(問題解答データベース!D323&gt;=小テスト!$C$6,D323&lt;=小テスト!$E$6),1,0)</f>
        <v>1</v>
      </c>
      <c r="D323" s="44">
        <f t="shared" si="12"/>
        <v>322</v>
      </c>
      <c r="E323" s="45" t="s">
        <v>486</v>
      </c>
      <c r="F323" s="46" t="s">
        <v>2235</v>
      </c>
    </row>
    <row r="324" spans="1:6" ht="17">
      <c r="A324" s="15">
        <f t="shared" ca="1" si="13"/>
        <v>1426</v>
      </c>
      <c r="B324" s="16">
        <f t="shared" ca="1" si="11"/>
        <v>0.24960646297133604</v>
      </c>
      <c r="C324" s="17">
        <f>IF(AND(問題解答データベース!D324&gt;=小テスト!$C$6,D324&lt;=小テスト!$E$6),1,0)</f>
        <v>1</v>
      </c>
      <c r="D324" s="44">
        <f t="shared" si="12"/>
        <v>323</v>
      </c>
      <c r="E324" s="45" t="s">
        <v>487</v>
      </c>
      <c r="F324" s="46" t="s">
        <v>2236</v>
      </c>
    </row>
    <row r="325" spans="1:6" ht="17">
      <c r="A325" s="15">
        <f t="shared" ca="1" si="13"/>
        <v>153</v>
      </c>
      <c r="B325" s="16">
        <f t="shared" ca="1" si="11"/>
        <v>0.92298227520520348</v>
      </c>
      <c r="C325" s="17">
        <f>IF(AND(問題解答データベース!D325&gt;=小テスト!$C$6,D325&lt;=小テスト!$E$6),1,0)</f>
        <v>1</v>
      </c>
      <c r="D325" s="44">
        <f t="shared" si="12"/>
        <v>324</v>
      </c>
      <c r="E325" s="45" t="s">
        <v>488</v>
      </c>
      <c r="F325" s="46" t="s">
        <v>2237</v>
      </c>
    </row>
    <row r="326" spans="1:6" ht="17">
      <c r="A326" s="15">
        <f t="shared" ca="1" si="13"/>
        <v>922</v>
      </c>
      <c r="B326" s="16">
        <f t="shared" ca="1" si="11"/>
        <v>0.51377388452651651</v>
      </c>
      <c r="C326" s="17">
        <f>IF(AND(問題解答データベース!D326&gt;=小テスト!$C$6,D326&lt;=小テスト!$E$6),1,0)</f>
        <v>1</v>
      </c>
      <c r="D326" s="44">
        <f t="shared" si="12"/>
        <v>325</v>
      </c>
      <c r="E326" s="45" t="s">
        <v>489</v>
      </c>
      <c r="F326" s="46" t="s">
        <v>2238</v>
      </c>
    </row>
    <row r="327" spans="1:6" ht="17">
      <c r="A327" s="15">
        <f t="shared" ca="1" si="13"/>
        <v>1389</v>
      </c>
      <c r="B327" s="16">
        <f t="shared" ca="1" si="11"/>
        <v>0.26961630934508729</v>
      </c>
      <c r="C327" s="17">
        <f>IF(AND(問題解答データベース!D327&gt;=小テスト!$C$6,D327&lt;=小テスト!$E$6),1,0)</f>
        <v>1</v>
      </c>
      <c r="D327" s="44">
        <f t="shared" si="12"/>
        <v>326</v>
      </c>
      <c r="E327" s="45" t="s">
        <v>490</v>
      </c>
      <c r="F327" s="46" t="s">
        <v>2239</v>
      </c>
    </row>
    <row r="328" spans="1:6" ht="17">
      <c r="A328" s="15">
        <f t="shared" ca="1" si="13"/>
        <v>440</v>
      </c>
      <c r="B328" s="16">
        <f t="shared" ca="1" si="11"/>
        <v>0.7675671459471568</v>
      </c>
      <c r="C328" s="17">
        <f>IF(AND(問題解答データベース!D328&gt;=小テスト!$C$6,D328&lt;=小テスト!$E$6),1,0)</f>
        <v>1</v>
      </c>
      <c r="D328" s="44">
        <f t="shared" si="12"/>
        <v>327</v>
      </c>
      <c r="E328" s="45" t="s">
        <v>491</v>
      </c>
      <c r="F328" s="46" t="s">
        <v>2240</v>
      </c>
    </row>
    <row r="329" spans="1:6" ht="17">
      <c r="A329" s="15">
        <f t="shared" ca="1" si="13"/>
        <v>1684</v>
      </c>
      <c r="B329" s="16">
        <f t="shared" ca="1" si="11"/>
        <v>0.10953141058798255</v>
      </c>
      <c r="C329" s="17">
        <f>IF(AND(問題解答データベース!D329&gt;=小テスト!$C$6,D329&lt;=小テスト!$E$6),1,0)</f>
        <v>1</v>
      </c>
      <c r="D329" s="44">
        <f t="shared" si="12"/>
        <v>328</v>
      </c>
      <c r="E329" s="45" t="s">
        <v>492</v>
      </c>
      <c r="F329" s="46" t="s">
        <v>2241</v>
      </c>
    </row>
    <row r="330" spans="1:6" ht="17">
      <c r="A330" s="15">
        <f t="shared" ca="1" si="13"/>
        <v>534</v>
      </c>
      <c r="B330" s="16">
        <f t="shared" ref="B330:B393" ca="1" si="14">IF(C330=1,RAND(),0)</f>
        <v>0.72364022950920459</v>
      </c>
      <c r="C330" s="17">
        <f>IF(AND(問題解答データベース!D330&gt;=小テスト!$C$6,D330&lt;=小テスト!$E$6),1,0)</f>
        <v>1</v>
      </c>
      <c r="D330" s="44">
        <f t="shared" si="12"/>
        <v>329</v>
      </c>
      <c r="E330" s="45" t="s">
        <v>493</v>
      </c>
      <c r="F330" s="46" t="s">
        <v>2242</v>
      </c>
    </row>
    <row r="331" spans="1:6" ht="17">
      <c r="A331" s="15">
        <f t="shared" ca="1" si="13"/>
        <v>1765</v>
      </c>
      <c r="B331" s="16">
        <f t="shared" ca="1" si="14"/>
        <v>6.597132760308555E-2</v>
      </c>
      <c r="C331" s="17">
        <f>IF(AND(問題解答データベース!D331&gt;=小テスト!$C$6,D331&lt;=小テスト!$E$6),1,0)</f>
        <v>1</v>
      </c>
      <c r="D331" s="44">
        <f t="shared" si="12"/>
        <v>330</v>
      </c>
      <c r="E331" s="45" t="s">
        <v>494</v>
      </c>
      <c r="F331" s="46" t="s">
        <v>2243</v>
      </c>
    </row>
    <row r="332" spans="1:6" ht="17">
      <c r="A332" s="15">
        <f t="shared" ca="1" si="13"/>
        <v>383</v>
      </c>
      <c r="B332" s="16">
        <f t="shared" ca="1" si="14"/>
        <v>0.79449801076495252</v>
      </c>
      <c r="C332" s="17">
        <f>IF(AND(問題解答データベース!D332&gt;=小テスト!$C$6,D332&lt;=小テスト!$E$6),1,0)</f>
        <v>1</v>
      </c>
      <c r="D332" s="44">
        <f t="shared" si="12"/>
        <v>331</v>
      </c>
      <c r="E332" s="45" t="s">
        <v>495</v>
      </c>
      <c r="F332" s="46" t="s">
        <v>2244</v>
      </c>
    </row>
    <row r="333" spans="1:6" ht="17">
      <c r="A333" s="15">
        <f t="shared" ca="1" si="13"/>
        <v>976</v>
      </c>
      <c r="B333" s="16">
        <f t="shared" ca="1" si="14"/>
        <v>0.48815232676117137</v>
      </c>
      <c r="C333" s="17">
        <f>IF(AND(問題解答データベース!D333&gt;=小テスト!$C$6,D333&lt;=小テスト!$E$6),1,0)</f>
        <v>1</v>
      </c>
      <c r="D333" s="44">
        <f t="shared" ref="D333:D396" si="15">D332+1</f>
        <v>332</v>
      </c>
      <c r="E333" s="45" t="s">
        <v>496</v>
      </c>
      <c r="F333" s="46" t="s">
        <v>2245</v>
      </c>
    </row>
    <row r="334" spans="1:6" ht="17">
      <c r="A334" s="15">
        <f t="shared" ca="1" si="13"/>
        <v>70</v>
      </c>
      <c r="B334" s="16">
        <f t="shared" ca="1" si="14"/>
        <v>0.96513673787147214</v>
      </c>
      <c r="C334" s="17">
        <f>IF(AND(問題解答データベース!D334&gt;=小テスト!$C$6,D334&lt;=小テスト!$E$6),1,0)</f>
        <v>1</v>
      </c>
      <c r="D334" s="44">
        <f t="shared" si="15"/>
        <v>333</v>
      </c>
      <c r="E334" s="45" t="s">
        <v>497</v>
      </c>
      <c r="F334" s="46" t="s">
        <v>2246</v>
      </c>
    </row>
    <row r="335" spans="1:6" ht="17">
      <c r="A335" s="15">
        <f t="shared" ca="1" si="13"/>
        <v>1357</v>
      </c>
      <c r="B335" s="16">
        <f t="shared" ca="1" si="14"/>
        <v>0.28937831553626037</v>
      </c>
      <c r="C335" s="17">
        <f>IF(AND(問題解答データベース!D335&gt;=小テスト!$C$6,D335&lt;=小テスト!$E$6),1,0)</f>
        <v>1</v>
      </c>
      <c r="D335" s="44">
        <f t="shared" si="15"/>
        <v>334</v>
      </c>
      <c r="E335" s="45" t="s">
        <v>498</v>
      </c>
      <c r="F335" s="46" t="s">
        <v>2247</v>
      </c>
    </row>
    <row r="336" spans="1:6" ht="17">
      <c r="A336" s="15">
        <f t="shared" ca="1" si="13"/>
        <v>1020</v>
      </c>
      <c r="B336" s="16">
        <f t="shared" ca="1" si="14"/>
        <v>0.47121618540413601</v>
      </c>
      <c r="C336" s="17">
        <f>IF(AND(問題解答データベース!D336&gt;=小テスト!$C$6,D336&lt;=小テスト!$E$6),1,0)</f>
        <v>1</v>
      </c>
      <c r="D336" s="44">
        <f t="shared" si="15"/>
        <v>335</v>
      </c>
      <c r="E336" s="45" t="s">
        <v>499</v>
      </c>
      <c r="F336" s="46" t="s">
        <v>2248</v>
      </c>
    </row>
    <row r="337" spans="1:6" ht="17">
      <c r="A337" s="15">
        <f t="shared" ca="1" si="13"/>
        <v>1104</v>
      </c>
      <c r="B337" s="16">
        <f t="shared" ca="1" si="14"/>
        <v>0.4210183360994223</v>
      </c>
      <c r="C337" s="17">
        <f>IF(AND(問題解答データベース!D337&gt;=小テスト!$C$6,D337&lt;=小テスト!$E$6),1,0)</f>
        <v>1</v>
      </c>
      <c r="D337" s="44">
        <f t="shared" si="15"/>
        <v>336</v>
      </c>
      <c r="E337" s="45" t="s">
        <v>500</v>
      </c>
      <c r="F337" s="46" t="s">
        <v>2249</v>
      </c>
    </row>
    <row r="338" spans="1:6" ht="17">
      <c r="A338" s="15">
        <f t="shared" ca="1" si="13"/>
        <v>191</v>
      </c>
      <c r="B338" s="16">
        <f t="shared" ca="1" si="14"/>
        <v>0.90807578219783491</v>
      </c>
      <c r="C338" s="17">
        <f>IF(AND(問題解答データベース!D338&gt;=小テスト!$C$6,D338&lt;=小テスト!$E$6),1,0)</f>
        <v>1</v>
      </c>
      <c r="D338" s="44">
        <f t="shared" si="15"/>
        <v>337</v>
      </c>
      <c r="E338" s="45" t="s">
        <v>501</v>
      </c>
      <c r="F338" s="46" t="s">
        <v>2250</v>
      </c>
    </row>
    <row r="339" spans="1:6" ht="17">
      <c r="A339" s="15">
        <f t="shared" ca="1" si="13"/>
        <v>206</v>
      </c>
      <c r="B339" s="16">
        <f t="shared" ca="1" si="14"/>
        <v>0.89970963916531899</v>
      </c>
      <c r="C339" s="17">
        <f>IF(AND(問題解答データベース!D339&gt;=小テスト!$C$6,D339&lt;=小テスト!$E$6),1,0)</f>
        <v>1</v>
      </c>
      <c r="D339" s="44">
        <f t="shared" si="15"/>
        <v>338</v>
      </c>
      <c r="E339" s="45" t="s">
        <v>502</v>
      </c>
      <c r="F339" s="46" t="s">
        <v>2251</v>
      </c>
    </row>
    <row r="340" spans="1:6" ht="17">
      <c r="A340" s="15">
        <f t="shared" ca="1" si="13"/>
        <v>690</v>
      </c>
      <c r="B340" s="16">
        <f t="shared" ca="1" si="14"/>
        <v>0.63195295018992603</v>
      </c>
      <c r="C340" s="17">
        <f>IF(AND(問題解答データベース!D340&gt;=小テスト!$C$6,D340&lt;=小テスト!$E$6),1,0)</f>
        <v>1</v>
      </c>
      <c r="D340" s="44">
        <f t="shared" si="15"/>
        <v>339</v>
      </c>
      <c r="E340" s="45" t="s">
        <v>503</v>
      </c>
      <c r="F340" s="46" t="s">
        <v>2252</v>
      </c>
    </row>
    <row r="341" spans="1:6" ht="17">
      <c r="A341" s="15">
        <f t="shared" ca="1" si="13"/>
        <v>1850</v>
      </c>
      <c r="B341" s="16">
        <f t="shared" ca="1" si="14"/>
        <v>2.4633664210907513E-2</v>
      </c>
      <c r="C341" s="17">
        <f>IF(AND(問題解答データベース!D341&gt;=小テスト!$C$6,D341&lt;=小テスト!$E$6),1,0)</f>
        <v>1</v>
      </c>
      <c r="D341" s="44">
        <f t="shared" si="15"/>
        <v>340</v>
      </c>
      <c r="E341" s="45" t="s">
        <v>504</v>
      </c>
      <c r="F341" s="46" t="s">
        <v>2253</v>
      </c>
    </row>
    <row r="342" spans="1:6" ht="17">
      <c r="A342" s="15">
        <f t="shared" ca="1" si="13"/>
        <v>1769</v>
      </c>
      <c r="B342" s="16">
        <f t="shared" ca="1" si="14"/>
        <v>6.4477684367933885E-2</v>
      </c>
      <c r="C342" s="17">
        <f>IF(AND(問題解答データベース!D342&gt;=小テスト!$C$6,D342&lt;=小テスト!$E$6),1,0)</f>
        <v>1</v>
      </c>
      <c r="D342" s="44">
        <f t="shared" si="15"/>
        <v>341</v>
      </c>
      <c r="E342" s="45" t="s">
        <v>505</v>
      </c>
      <c r="F342" s="46" t="s">
        <v>2254</v>
      </c>
    </row>
    <row r="343" spans="1:6" ht="17">
      <c r="A343" s="15">
        <f t="shared" ca="1" si="13"/>
        <v>423</v>
      </c>
      <c r="B343" s="16">
        <f t="shared" ca="1" si="14"/>
        <v>0.7741639782194587</v>
      </c>
      <c r="C343" s="17">
        <f>IF(AND(問題解答データベース!D343&gt;=小テスト!$C$6,D343&lt;=小テスト!$E$6),1,0)</f>
        <v>1</v>
      </c>
      <c r="D343" s="44">
        <f t="shared" si="15"/>
        <v>342</v>
      </c>
      <c r="E343" s="45" t="s">
        <v>506</v>
      </c>
      <c r="F343" s="46" t="s">
        <v>2255</v>
      </c>
    </row>
    <row r="344" spans="1:6" ht="17">
      <c r="A344" s="15">
        <f t="shared" ca="1" si="13"/>
        <v>95</v>
      </c>
      <c r="B344" s="16">
        <f t="shared" ca="1" si="14"/>
        <v>0.95399254047078175</v>
      </c>
      <c r="C344" s="17">
        <f>IF(AND(問題解答データベース!D344&gt;=小テスト!$C$6,D344&lt;=小テスト!$E$6),1,0)</f>
        <v>1</v>
      </c>
      <c r="D344" s="44">
        <f t="shared" si="15"/>
        <v>343</v>
      </c>
      <c r="E344" s="45" t="s">
        <v>507</v>
      </c>
      <c r="F344" s="46" t="s">
        <v>2256</v>
      </c>
    </row>
    <row r="345" spans="1:6" ht="17">
      <c r="A345" s="15">
        <f t="shared" ca="1" si="13"/>
        <v>128</v>
      </c>
      <c r="B345" s="16">
        <f t="shared" ca="1" si="14"/>
        <v>0.93924349621787928</v>
      </c>
      <c r="C345" s="17">
        <f>IF(AND(問題解答データベース!D345&gt;=小テスト!$C$6,D345&lt;=小テスト!$E$6),1,0)</f>
        <v>1</v>
      </c>
      <c r="D345" s="44">
        <f t="shared" si="15"/>
        <v>344</v>
      </c>
      <c r="E345" s="45" t="s">
        <v>508</v>
      </c>
      <c r="F345" s="46" t="s">
        <v>2257</v>
      </c>
    </row>
    <row r="346" spans="1:6" ht="17">
      <c r="A346" s="15">
        <f t="shared" ca="1" si="13"/>
        <v>1307</v>
      </c>
      <c r="B346" s="16">
        <f t="shared" ca="1" si="14"/>
        <v>0.31570577802310207</v>
      </c>
      <c r="C346" s="17">
        <f>IF(AND(問題解答データベース!D346&gt;=小テスト!$C$6,D346&lt;=小テスト!$E$6),1,0)</f>
        <v>1</v>
      </c>
      <c r="D346" s="44">
        <f t="shared" si="15"/>
        <v>345</v>
      </c>
      <c r="E346" s="45" t="s">
        <v>509</v>
      </c>
      <c r="F346" s="46" t="s">
        <v>2258</v>
      </c>
    </row>
    <row r="347" spans="1:6" ht="17">
      <c r="A347" s="15">
        <f t="shared" ca="1" si="13"/>
        <v>331</v>
      </c>
      <c r="B347" s="16">
        <f t="shared" ca="1" si="14"/>
        <v>0.82010950405787031</v>
      </c>
      <c r="C347" s="17">
        <f>IF(AND(問題解答データベース!D347&gt;=小テスト!$C$6,D347&lt;=小テスト!$E$6),1,0)</f>
        <v>1</v>
      </c>
      <c r="D347" s="44">
        <f t="shared" si="15"/>
        <v>346</v>
      </c>
      <c r="E347" s="45" t="s">
        <v>510</v>
      </c>
      <c r="F347" s="46" t="s">
        <v>2259</v>
      </c>
    </row>
    <row r="348" spans="1:6" ht="17">
      <c r="A348" s="15">
        <f t="shared" ca="1" si="13"/>
        <v>1584</v>
      </c>
      <c r="B348" s="16">
        <f t="shared" ca="1" si="14"/>
        <v>0.16436370786072929</v>
      </c>
      <c r="C348" s="17">
        <f>IF(AND(問題解答データベース!D348&gt;=小テスト!$C$6,D348&lt;=小テスト!$E$6),1,0)</f>
        <v>1</v>
      </c>
      <c r="D348" s="44">
        <f t="shared" si="15"/>
        <v>347</v>
      </c>
      <c r="E348" s="45" t="s">
        <v>511</v>
      </c>
      <c r="F348" s="46" t="s">
        <v>2260</v>
      </c>
    </row>
    <row r="349" spans="1:6" ht="17">
      <c r="A349" s="15">
        <f t="shared" ca="1" si="13"/>
        <v>1305</v>
      </c>
      <c r="B349" s="16">
        <f t="shared" ca="1" si="14"/>
        <v>0.31931771641693507</v>
      </c>
      <c r="C349" s="17">
        <f>IF(AND(問題解答データベース!D349&gt;=小テスト!$C$6,D349&lt;=小テスト!$E$6),1,0)</f>
        <v>1</v>
      </c>
      <c r="D349" s="44">
        <f t="shared" si="15"/>
        <v>348</v>
      </c>
      <c r="E349" s="45" t="s">
        <v>512</v>
      </c>
      <c r="F349" s="46" t="s">
        <v>2261</v>
      </c>
    </row>
    <row r="350" spans="1:6" ht="17">
      <c r="A350" s="15">
        <f t="shared" ca="1" si="13"/>
        <v>1884</v>
      </c>
      <c r="B350" s="16">
        <f t="shared" ca="1" si="14"/>
        <v>7.1233074865671986E-3</v>
      </c>
      <c r="C350" s="17">
        <f>IF(AND(問題解答データベース!D350&gt;=小テスト!$C$6,D350&lt;=小テスト!$E$6),1,0)</f>
        <v>1</v>
      </c>
      <c r="D350" s="44">
        <f t="shared" si="15"/>
        <v>349</v>
      </c>
      <c r="E350" s="45" t="s">
        <v>513</v>
      </c>
      <c r="F350" s="46" t="s">
        <v>2262</v>
      </c>
    </row>
    <row r="351" spans="1:6" ht="17">
      <c r="A351" s="15">
        <f t="shared" ca="1" si="13"/>
        <v>173</v>
      </c>
      <c r="B351" s="16">
        <f t="shared" ca="1" si="14"/>
        <v>0.91655021419203064</v>
      </c>
      <c r="C351" s="17">
        <f>IF(AND(問題解答データベース!D351&gt;=小テスト!$C$6,D351&lt;=小テスト!$E$6),1,0)</f>
        <v>1</v>
      </c>
      <c r="D351" s="44">
        <f t="shared" si="15"/>
        <v>350</v>
      </c>
      <c r="E351" s="45" t="s">
        <v>514</v>
      </c>
      <c r="F351" s="46" t="s">
        <v>2263</v>
      </c>
    </row>
    <row r="352" spans="1:6" ht="17">
      <c r="A352" s="15">
        <f t="shared" ca="1" si="13"/>
        <v>133</v>
      </c>
      <c r="B352" s="16">
        <f t="shared" ca="1" si="14"/>
        <v>0.93701167805821461</v>
      </c>
      <c r="C352" s="17">
        <f>IF(AND(問題解答データベース!D352&gt;=小テスト!$C$6,D352&lt;=小テスト!$E$6),1,0)</f>
        <v>1</v>
      </c>
      <c r="D352" s="44">
        <f t="shared" si="15"/>
        <v>351</v>
      </c>
      <c r="E352" s="45" t="s">
        <v>515</v>
      </c>
      <c r="F352" s="46" t="s">
        <v>2264</v>
      </c>
    </row>
    <row r="353" spans="1:6" ht="17">
      <c r="A353" s="15">
        <f t="shared" ca="1" si="13"/>
        <v>20</v>
      </c>
      <c r="B353" s="16">
        <f t="shared" ca="1" si="14"/>
        <v>0.99137651495948775</v>
      </c>
      <c r="C353" s="17">
        <f>IF(AND(問題解答データベース!D353&gt;=小テスト!$C$6,D353&lt;=小テスト!$E$6),1,0)</f>
        <v>1</v>
      </c>
      <c r="D353" s="44">
        <f t="shared" si="15"/>
        <v>352</v>
      </c>
      <c r="E353" s="45" t="s">
        <v>516</v>
      </c>
      <c r="F353" s="46" t="s">
        <v>2265</v>
      </c>
    </row>
    <row r="354" spans="1:6" ht="17">
      <c r="A354" s="15">
        <f t="shared" ca="1" si="13"/>
        <v>963</v>
      </c>
      <c r="B354" s="16">
        <f t="shared" ca="1" si="14"/>
        <v>0.49301078142548704</v>
      </c>
      <c r="C354" s="17">
        <f>IF(AND(問題解答データベース!D354&gt;=小テスト!$C$6,D354&lt;=小テスト!$E$6),1,0)</f>
        <v>1</v>
      </c>
      <c r="D354" s="44">
        <f t="shared" si="15"/>
        <v>353</v>
      </c>
      <c r="E354" s="45" t="s">
        <v>517</v>
      </c>
      <c r="F354" s="46" t="s">
        <v>2266</v>
      </c>
    </row>
    <row r="355" spans="1:6" ht="17">
      <c r="A355" s="15">
        <f t="shared" ca="1" si="13"/>
        <v>1531</v>
      </c>
      <c r="B355" s="16">
        <f t="shared" ca="1" si="14"/>
        <v>0.18695739015928847</v>
      </c>
      <c r="C355" s="17">
        <f>IF(AND(問題解答データベース!D355&gt;=小テスト!$C$6,D355&lt;=小テスト!$E$6),1,0)</f>
        <v>1</v>
      </c>
      <c r="D355" s="44">
        <f t="shared" si="15"/>
        <v>354</v>
      </c>
      <c r="E355" s="45" t="s">
        <v>518</v>
      </c>
      <c r="F355" s="46" t="s">
        <v>2267</v>
      </c>
    </row>
    <row r="356" spans="1:6" ht="17">
      <c r="A356" s="15">
        <f t="shared" ca="1" si="13"/>
        <v>1336</v>
      </c>
      <c r="B356" s="16">
        <f t="shared" ca="1" si="14"/>
        <v>0.299138282150756</v>
      </c>
      <c r="C356" s="17">
        <f>IF(AND(問題解答データベース!D356&gt;=小テスト!$C$6,D356&lt;=小テスト!$E$6),1,0)</f>
        <v>1</v>
      </c>
      <c r="D356" s="44">
        <f t="shared" si="15"/>
        <v>355</v>
      </c>
      <c r="E356" s="45" t="s">
        <v>519</v>
      </c>
      <c r="F356" s="46" t="s">
        <v>2268</v>
      </c>
    </row>
    <row r="357" spans="1:6" ht="17">
      <c r="A357" s="15">
        <f t="shared" ca="1" si="13"/>
        <v>1498</v>
      </c>
      <c r="B357" s="16">
        <f t="shared" ca="1" si="14"/>
        <v>0.20159846108788104</v>
      </c>
      <c r="C357" s="17">
        <f>IF(AND(問題解答データベース!D357&gt;=小テスト!$C$6,D357&lt;=小テスト!$E$6),1,0)</f>
        <v>1</v>
      </c>
      <c r="D357" s="44">
        <f t="shared" si="15"/>
        <v>356</v>
      </c>
      <c r="E357" s="45" t="s">
        <v>520</v>
      </c>
      <c r="F357" s="46" t="s">
        <v>2269</v>
      </c>
    </row>
    <row r="358" spans="1:6" ht="17">
      <c r="A358" s="15">
        <f t="shared" ca="1" si="13"/>
        <v>538</v>
      </c>
      <c r="B358" s="16">
        <f t="shared" ca="1" si="14"/>
        <v>0.72017724256912397</v>
      </c>
      <c r="C358" s="17">
        <f>IF(AND(問題解答データベース!D358&gt;=小テスト!$C$6,D358&lt;=小テスト!$E$6),1,0)</f>
        <v>1</v>
      </c>
      <c r="D358" s="44">
        <f t="shared" si="15"/>
        <v>357</v>
      </c>
      <c r="E358" s="45" t="s">
        <v>521</v>
      </c>
      <c r="F358" s="46" t="s">
        <v>2270</v>
      </c>
    </row>
    <row r="359" spans="1:6" ht="17">
      <c r="A359" s="15">
        <f t="shared" ca="1" si="13"/>
        <v>567</v>
      </c>
      <c r="B359" s="16">
        <f t="shared" ca="1" si="14"/>
        <v>0.70482583538401344</v>
      </c>
      <c r="C359" s="17">
        <f>IF(AND(問題解答データベース!D359&gt;=小テスト!$C$6,D359&lt;=小テスト!$E$6),1,0)</f>
        <v>1</v>
      </c>
      <c r="D359" s="44">
        <f t="shared" si="15"/>
        <v>358</v>
      </c>
      <c r="E359" s="45" t="s">
        <v>522</v>
      </c>
      <c r="F359" s="46" t="s">
        <v>2271</v>
      </c>
    </row>
    <row r="360" spans="1:6" ht="17">
      <c r="A360" s="15">
        <f t="shared" ca="1" si="13"/>
        <v>1628</v>
      </c>
      <c r="B360" s="16">
        <f t="shared" ca="1" si="14"/>
        <v>0.13992036151481224</v>
      </c>
      <c r="C360" s="17">
        <f>IF(AND(問題解答データベース!D360&gt;=小テスト!$C$6,D360&lt;=小テスト!$E$6),1,0)</f>
        <v>1</v>
      </c>
      <c r="D360" s="44">
        <f t="shared" si="15"/>
        <v>359</v>
      </c>
      <c r="E360" s="45" t="s">
        <v>523</v>
      </c>
      <c r="F360" s="46" t="s">
        <v>2272</v>
      </c>
    </row>
    <row r="361" spans="1:6" ht="17">
      <c r="A361" s="15">
        <f t="shared" ca="1" si="13"/>
        <v>232</v>
      </c>
      <c r="B361" s="16">
        <f t="shared" ca="1" si="14"/>
        <v>0.88174617565802604</v>
      </c>
      <c r="C361" s="17">
        <f>IF(AND(問題解答データベース!D361&gt;=小テスト!$C$6,D361&lt;=小テスト!$E$6),1,0)</f>
        <v>1</v>
      </c>
      <c r="D361" s="44">
        <f t="shared" si="15"/>
        <v>360</v>
      </c>
      <c r="E361" s="45" t="s">
        <v>524</v>
      </c>
      <c r="F361" s="46" t="s">
        <v>2273</v>
      </c>
    </row>
    <row r="362" spans="1:6" ht="17">
      <c r="A362" s="15">
        <f t="shared" ca="1" si="13"/>
        <v>102</v>
      </c>
      <c r="B362" s="16">
        <f t="shared" ca="1" si="14"/>
        <v>0.95234111241065056</v>
      </c>
      <c r="C362" s="17">
        <f>IF(AND(問題解答データベース!D362&gt;=小テスト!$C$6,D362&lt;=小テスト!$E$6),1,0)</f>
        <v>1</v>
      </c>
      <c r="D362" s="44">
        <f t="shared" si="15"/>
        <v>361</v>
      </c>
      <c r="E362" s="45" t="s">
        <v>525</v>
      </c>
      <c r="F362" s="46" t="s">
        <v>2274</v>
      </c>
    </row>
    <row r="363" spans="1:6" ht="17">
      <c r="A363" s="15">
        <f t="shared" ca="1" si="13"/>
        <v>715</v>
      </c>
      <c r="B363" s="16">
        <f t="shared" ca="1" si="14"/>
        <v>0.62087909980213973</v>
      </c>
      <c r="C363" s="17">
        <f>IF(AND(問題解答データベース!D363&gt;=小テスト!$C$6,D363&lt;=小テスト!$E$6),1,0)</f>
        <v>1</v>
      </c>
      <c r="D363" s="44">
        <f t="shared" si="15"/>
        <v>362</v>
      </c>
      <c r="E363" s="45" t="s">
        <v>526</v>
      </c>
      <c r="F363" s="46" t="s">
        <v>2275</v>
      </c>
    </row>
    <row r="364" spans="1:6" ht="17">
      <c r="A364" s="15">
        <f t="shared" ca="1" si="13"/>
        <v>1203</v>
      </c>
      <c r="B364" s="16">
        <f t="shared" ca="1" si="14"/>
        <v>0.36694930323653741</v>
      </c>
      <c r="C364" s="17">
        <f>IF(AND(問題解答データベース!D364&gt;=小テスト!$C$6,D364&lt;=小テスト!$E$6),1,0)</f>
        <v>1</v>
      </c>
      <c r="D364" s="44">
        <f t="shared" si="15"/>
        <v>363</v>
      </c>
      <c r="E364" s="45" t="s">
        <v>527</v>
      </c>
      <c r="F364" s="46" t="s">
        <v>2276</v>
      </c>
    </row>
    <row r="365" spans="1:6" ht="17">
      <c r="A365" s="15">
        <f t="shared" ca="1" si="13"/>
        <v>1126</v>
      </c>
      <c r="B365" s="16">
        <f t="shared" ca="1" si="14"/>
        <v>0.40971408863322489</v>
      </c>
      <c r="C365" s="17">
        <f>IF(AND(問題解答データベース!D365&gt;=小テスト!$C$6,D365&lt;=小テスト!$E$6),1,0)</f>
        <v>1</v>
      </c>
      <c r="D365" s="44">
        <f t="shared" si="15"/>
        <v>364</v>
      </c>
      <c r="E365" s="45" t="s">
        <v>528</v>
      </c>
      <c r="F365" s="46" t="s">
        <v>2277</v>
      </c>
    </row>
    <row r="366" spans="1:6" ht="17">
      <c r="A366" s="15">
        <f t="shared" ca="1" si="13"/>
        <v>13</v>
      </c>
      <c r="B366" s="16">
        <f t="shared" ca="1" si="14"/>
        <v>0.99460893486748658</v>
      </c>
      <c r="C366" s="17">
        <f>IF(AND(問題解答データベース!D366&gt;=小テスト!$C$6,D366&lt;=小テスト!$E$6),1,0)</f>
        <v>1</v>
      </c>
      <c r="D366" s="44">
        <f t="shared" si="15"/>
        <v>365</v>
      </c>
      <c r="E366" s="45" t="s">
        <v>529</v>
      </c>
      <c r="F366" s="46" t="s">
        <v>2278</v>
      </c>
    </row>
    <row r="367" spans="1:6" ht="17">
      <c r="A367" s="15">
        <f t="shared" ca="1" si="13"/>
        <v>1650</v>
      </c>
      <c r="B367" s="16">
        <f t="shared" ca="1" si="14"/>
        <v>0.1271261863292904</v>
      </c>
      <c r="C367" s="17">
        <f>IF(AND(問題解答データベース!D367&gt;=小テスト!$C$6,D367&lt;=小テスト!$E$6),1,0)</f>
        <v>1</v>
      </c>
      <c r="D367" s="44">
        <f t="shared" si="15"/>
        <v>366</v>
      </c>
      <c r="E367" s="45" t="s">
        <v>530</v>
      </c>
      <c r="F367" s="46" t="s">
        <v>2279</v>
      </c>
    </row>
    <row r="368" spans="1:6" ht="17">
      <c r="A368" s="15">
        <f t="shared" ca="1" si="13"/>
        <v>797</v>
      </c>
      <c r="B368" s="16">
        <f t="shared" ca="1" si="14"/>
        <v>0.57779691784224063</v>
      </c>
      <c r="C368" s="17">
        <f>IF(AND(問題解答データベース!D368&gt;=小テスト!$C$6,D368&lt;=小テスト!$E$6),1,0)</f>
        <v>1</v>
      </c>
      <c r="D368" s="44">
        <f t="shared" si="15"/>
        <v>367</v>
      </c>
      <c r="E368" s="45" t="s">
        <v>531</v>
      </c>
      <c r="F368" s="46" t="s">
        <v>2280</v>
      </c>
    </row>
    <row r="369" spans="1:6" ht="17">
      <c r="A369" s="15">
        <f t="shared" ca="1" si="13"/>
        <v>810</v>
      </c>
      <c r="B369" s="16">
        <f t="shared" ca="1" si="14"/>
        <v>0.57046987417185169</v>
      </c>
      <c r="C369" s="17">
        <f>IF(AND(問題解答データベース!D369&gt;=小テスト!$C$6,D369&lt;=小テスト!$E$6),1,0)</f>
        <v>1</v>
      </c>
      <c r="D369" s="44">
        <f t="shared" si="15"/>
        <v>368</v>
      </c>
      <c r="E369" s="45" t="s">
        <v>532</v>
      </c>
      <c r="F369" s="46" t="s">
        <v>2281</v>
      </c>
    </row>
    <row r="370" spans="1:6" ht="17">
      <c r="A370" s="15">
        <f t="shared" ca="1" si="13"/>
        <v>1841</v>
      </c>
      <c r="B370" s="16">
        <f t="shared" ca="1" si="14"/>
        <v>2.9625636546465994E-2</v>
      </c>
      <c r="C370" s="17">
        <f>IF(AND(問題解答データベース!D370&gt;=小テスト!$C$6,D370&lt;=小テスト!$E$6),1,0)</f>
        <v>1</v>
      </c>
      <c r="D370" s="44">
        <f t="shared" si="15"/>
        <v>369</v>
      </c>
      <c r="E370" s="45" t="s">
        <v>533</v>
      </c>
      <c r="F370" s="46" t="s">
        <v>2282</v>
      </c>
    </row>
    <row r="371" spans="1:6" ht="17">
      <c r="A371" s="15">
        <f t="shared" ca="1" si="13"/>
        <v>1376</v>
      </c>
      <c r="B371" s="16">
        <f t="shared" ca="1" si="14"/>
        <v>0.27663129916233609</v>
      </c>
      <c r="C371" s="17">
        <f>IF(AND(問題解答データベース!D371&gt;=小テスト!$C$6,D371&lt;=小テスト!$E$6),1,0)</f>
        <v>1</v>
      </c>
      <c r="D371" s="44">
        <f t="shared" si="15"/>
        <v>370</v>
      </c>
      <c r="E371" s="45" t="s">
        <v>534</v>
      </c>
      <c r="F371" s="46" t="s">
        <v>2283</v>
      </c>
    </row>
    <row r="372" spans="1:6" ht="17">
      <c r="A372" s="15">
        <f t="shared" ca="1" si="13"/>
        <v>1299</v>
      </c>
      <c r="B372" s="16">
        <f t="shared" ca="1" si="14"/>
        <v>0.32241509529223833</v>
      </c>
      <c r="C372" s="17">
        <f>IF(AND(問題解答データベース!D372&gt;=小テスト!$C$6,D372&lt;=小テスト!$E$6),1,0)</f>
        <v>1</v>
      </c>
      <c r="D372" s="44">
        <f t="shared" si="15"/>
        <v>371</v>
      </c>
      <c r="E372" s="45" t="s">
        <v>535</v>
      </c>
      <c r="F372" s="46" t="s">
        <v>2284</v>
      </c>
    </row>
    <row r="373" spans="1:6" ht="17">
      <c r="A373" s="15">
        <f t="shared" ca="1" si="13"/>
        <v>1710</v>
      </c>
      <c r="B373" s="16">
        <f t="shared" ca="1" si="14"/>
        <v>9.6766867653640842E-2</v>
      </c>
      <c r="C373" s="17">
        <f>IF(AND(問題解答データベース!D373&gt;=小テスト!$C$6,D373&lt;=小テスト!$E$6),1,0)</f>
        <v>1</v>
      </c>
      <c r="D373" s="44">
        <f t="shared" si="15"/>
        <v>372</v>
      </c>
      <c r="E373" s="45" t="s">
        <v>536</v>
      </c>
      <c r="F373" s="46" t="s">
        <v>2285</v>
      </c>
    </row>
    <row r="374" spans="1:6" ht="17">
      <c r="A374" s="15">
        <f t="shared" ca="1" si="13"/>
        <v>1066</v>
      </c>
      <c r="B374" s="16">
        <f t="shared" ca="1" si="14"/>
        <v>0.44499222002964511</v>
      </c>
      <c r="C374" s="17">
        <f>IF(AND(問題解答データベース!D374&gt;=小テスト!$C$6,D374&lt;=小テスト!$E$6),1,0)</f>
        <v>1</v>
      </c>
      <c r="D374" s="44">
        <f t="shared" si="15"/>
        <v>373</v>
      </c>
      <c r="E374" s="45" t="s">
        <v>537</v>
      </c>
      <c r="F374" s="46" t="s">
        <v>2286</v>
      </c>
    </row>
    <row r="375" spans="1:6" ht="17">
      <c r="A375" s="15">
        <f t="shared" ca="1" si="13"/>
        <v>1309</v>
      </c>
      <c r="B375" s="16">
        <f t="shared" ca="1" si="14"/>
        <v>0.31472807295840599</v>
      </c>
      <c r="C375" s="17">
        <f>IF(AND(問題解答データベース!D375&gt;=小テスト!$C$6,D375&lt;=小テスト!$E$6),1,0)</f>
        <v>1</v>
      </c>
      <c r="D375" s="44">
        <f t="shared" si="15"/>
        <v>374</v>
      </c>
      <c r="E375" s="45" t="s">
        <v>538</v>
      </c>
      <c r="F375" s="46" t="s">
        <v>2287</v>
      </c>
    </row>
    <row r="376" spans="1:6" ht="17">
      <c r="A376" s="15">
        <f t="shared" ca="1" si="13"/>
        <v>75</v>
      </c>
      <c r="B376" s="16">
        <f t="shared" ca="1" si="14"/>
        <v>0.96447863033864989</v>
      </c>
      <c r="C376" s="17">
        <f>IF(AND(問題解答データベース!D376&gt;=小テスト!$C$6,D376&lt;=小テスト!$E$6),1,0)</f>
        <v>1</v>
      </c>
      <c r="D376" s="44">
        <f t="shared" si="15"/>
        <v>375</v>
      </c>
      <c r="E376" s="45" t="s">
        <v>539</v>
      </c>
      <c r="F376" s="46" t="s">
        <v>2288</v>
      </c>
    </row>
    <row r="377" spans="1:6" ht="17">
      <c r="A377" s="15">
        <f t="shared" ca="1" si="13"/>
        <v>550</v>
      </c>
      <c r="B377" s="16">
        <f t="shared" ca="1" si="14"/>
        <v>0.71297093490518326</v>
      </c>
      <c r="C377" s="17">
        <f>IF(AND(問題解答データベース!D377&gt;=小テスト!$C$6,D377&lt;=小テスト!$E$6),1,0)</f>
        <v>1</v>
      </c>
      <c r="D377" s="44">
        <f t="shared" si="15"/>
        <v>376</v>
      </c>
      <c r="E377" s="45" t="s">
        <v>540</v>
      </c>
      <c r="F377" s="46" t="s">
        <v>2289</v>
      </c>
    </row>
    <row r="378" spans="1:6" ht="17">
      <c r="A378" s="15">
        <f t="shared" ca="1" si="13"/>
        <v>456</v>
      </c>
      <c r="B378" s="16">
        <f t="shared" ca="1" si="14"/>
        <v>0.76250913686322419</v>
      </c>
      <c r="C378" s="17">
        <f>IF(AND(問題解答データベース!D378&gt;=小テスト!$C$6,D378&lt;=小テスト!$E$6),1,0)</f>
        <v>1</v>
      </c>
      <c r="D378" s="44">
        <f t="shared" si="15"/>
        <v>377</v>
      </c>
      <c r="E378" s="45" t="s">
        <v>541</v>
      </c>
      <c r="F378" s="46" t="s">
        <v>2290</v>
      </c>
    </row>
    <row r="379" spans="1:6" ht="17">
      <c r="A379" s="15">
        <f t="shared" ca="1" si="13"/>
        <v>1517</v>
      </c>
      <c r="B379" s="16">
        <f t="shared" ca="1" si="14"/>
        <v>0.19467291644566231</v>
      </c>
      <c r="C379" s="17">
        <f>IF(AND(問題解答データベース!D379&gt;=小テスト!$C$6,D379&lt;=小テスト!$E$6),1,0)</f>
        <v>1</v>
      </c>
      <c r="D379" s="44">
        <f t="shared" si="15"/>
        <v>378</v>
      </c>
      <c r="E379" s="45" t="s">
        <v>542</v>
      </c>
      <c r="F379" s="46" t="s">
        <v>2291</v>
      </c>
    </row>
    <row r="380" spans="1:6" ht="17">
      <c r="A380" s="15">
        <f t="shared" ca="1" si="13"/>
        <v>1565</v>
      </c>
      <c r="B380" s="16">
        <f t="shared" ca="1" si="14"/>
        <v>0.1708715651085887</v>
      </c>
      <c r="C380" s="17">
        <f>IF(AND(問題解答データベース!D380&gt;=小テスト!$C$6,D380&lt;=小テスト!$E$6),1,0)</f>
        <v>1</v>
      </c>
      <c r="D380" s="44">
        <f t="shared" si="15"/>
        <v>379</v>
      </c>
      <c r="E380" s="45" t="s">
        <v>543</v>
      </c>
      <c r="F380" s="46" t="s">
        <v>2292</v>
      </c>
    </row>
    <row r="381" spans="1:6" ht="17">
      <c r="A381" s="15">
        <f t="shared" ca="1" si="13"/>
        <v>695</v>
      </c>
      <c r="B381" s="16">
        <f t="shared" ca="1" si="14"/>
        <v>0.62949379257086713</v>
      </c>
      <c r="C381" s="17">
        <f>IF(AND(問題解答データベース!D381&gt;=小テスト!$C$6,D381&lt;=小テスト!$E$6),1,0)</f>
        <v>1</v>
      </c>
      <c r="D381" s="44">
        <f t="shared" si="15"/>
        <v>380</v>
      </c>
      <c r="E381" s="45" t="s">
        <v>544</v>
      </c>
      <c r="F381" s="46" t="s">
        <v>2293</v>
      </c>
    </row>
    <row r="382" spans="1:6" ht="17">
      <c r="A382" s="15">
        <f t="shared" ca="1" si="13"/>
        <v>319</v>
      </c>
      <c r="B382" s="16">
        <f t="shared" ca="1" si="14"/>
        <v>0.82989753106548358</v>
      </c>
      <c r="C382" s="17">
        <f>IF(AND(問題解答データベース!D382&gt;=小テスト!$C$6,D382&lt;=小テスト!$E$6),1,0)</f>
        <v>1</v>
      </c>
      <c r="D382" s="44">
        <f t="shared" si="15"/>
        <v>381</v>
      </c>
      <c r="E382" s="45" t="s">
        <v>545</v>
      </c>
      <c r="F382" s="46" t="s">
        <v>2294</v>
      </c>
    </row>
    <row r="383" spans="1:6" ht="17">
      <c r="A383" s="15">
        <f t="shared" ca="1" si="13"/>
        <v>1643</v>
      </c>
      <c r="B383" s="16">
        <f t="shared" ca="1" si="14"/>
        <v>0.13036088346960617</v>
      </c>
      <c r="C383" s="17">
        <f>IF(AND(問題解答データベース!D383&gt;=小テスト!$C$6,D383&lt;=小テスト!$E$6),1,0)</f>
        <v>1</v>
      </c>
      <c r="D383" s="44">
        <f t="shared" si="15"/>
        <v>382</v>
      </c>
      <c r="E383" s="45" t="s">
        <v>546</v>
      </c>
      <c r="F383" s="46" t="s">
        <v>2295</v>
      </c>
    </row>
    <row r="384" spans="1:6" ht="17">
      <c r="A384" s="15">
        <f t="shared" ca="1" si="13"/>
        <v>1232</v>
      </c>
      <c r="B384" s="16">
        <f t="shared" ca="1" si="14"/>
        <v>0.35900305669352162</v>
      </c>
      <c r="C384" s="17">
        <f>IF(AND(問題解答データベース!D384&gt;=小テスト!$C$6,D384&lt;=小テスト!$E$6),1,0)</f>
        <v>1</v>
      </c>
      <c r="D384" s="44">
        <f t="shared" si="15"/>
        <v>383</v>
      </c>
      <c r="E384" s="45" t="s">
        <v>547</v>
      </c>
      <c r="F384" s="46" t="s">
        <v>2296</v>
      </c>
    </row>
    <row r="385" spans="1:6" ht="17">
      <c r="A385" s="15">
        <f t="shared" ca="1" si="13"/>
        <v>1341</v>
      </c>
      <c r="B385" s="16">
        <f t="shared" ca="1" si="14"/>
        <v>0.29701792556140805</v>
      </c>
      <c r="C385" s="17">
        <f>IF(AND(問題解答データベース!D385&gt;=小テスト!$C$6,D385&lt;=小テスト!$E$6),1,0)</f>
        <v>1</v>
      </c>
      <c r="D385" s="44">
        <f t="shared" si="15"/>
        <v>384</v>
      </c>
      <c r="E385" s="45" t="s">
        <v>548</v>
      </c>
      <c r="F385" s="46" t="s">
        <v>2297</v>
      </c>
    </row>
    <row r="386" spans="1:6" ht="17">
      <c r="A386" s="15">
        <f t="shared" ca="1" si="13"/>
        <v>858</v>
      </c>
      <c r="B386" s="16">
        <f t="shared" ca="1" si="14"/>
        <v>0.54221048507215563</v>
      </c>
      <c r="C386" s="17">
        <f>IF(AND(問題解答データベース!D386&gt;=小テスト!$C$6,D386&lt;=小テスト!$E$6),1,0)</f>
        <v>1</v>
      </c>
      <c r="D386" s="44">
        <f t="shared" si="15"/>
        <v>385</v>
      </c>
      <c r="E386" s="45" t="s">
        <v>549</v>
      </c>
      <c r="F386" s="46" t="s">
        <v>2298</v>
      </c>
    </row>
    <row r="387" spans="1:6" ht="17">
      <c r="A387" s="15">
        <f t="shared" ref="A387:A450" ca="1" si="16">RANK(B387,$B$2:$B$1901,0)</f>
        <v>124</v>
      </c>
      <c r="B387" s="16">
        <f t="shared" ca="1" si="14"/>
        <v>0.94165117902776585</v>
      </c>
      <c r="C387" s="17">
        <f>IF(AND(問題解答データベース!D387&gt;=小テスト!$C$6,D387&lt;=小テスト!$E$6),1,0)</f>
        <v>1</v>
      </c>
      <c r="D387" s="44">
        <f t="shared" si="15"/>
        <v>386</v>
      </c>
      <c r="E387" s="45" t="s">
        <v>550</v>
      </c>
      <c r="F387" s="46" t="s">
        <v>2299</v>
      </c>
    </row>
    <row r="388" spans="1:6" ht="17">
      <c r="A388" s="15">
        <f t="shared" ca="1" si="16"/>
        <v>1424</v>
      </c>
      <c r="B388" s="16">
        <f t="shared" ca="1" si="14"/>
        <v>0.25098261983432035</v>
      </c>
      <c r="C388" s="17">
        <f>IF(AND(問題解答データベース!D388&gt;=小テスト!$C$6,D388&lt;=小テスト!$E$6),1,0)</f>
        <v>1</v>
      </c>
      <c r="D388" s="44">
        <f t="shared" si="15"/>
        <v>387</v>
      </c>
      <c r="E388" s="45" t="s">
        <v>551</v>
      </c>
      <c r="F388" s="46" t="s">
        <v>2300</v>
      </c>
    </row>
    <row r="389" spans="1:6" ht="17">
      <c r="A389" s="15">
        <f t="shared" ca="1" si="16"/>
        <v>1099</v>
      </c>
      <c r="B389" s="16">
        <f t="shared" ca="1" si="14"/>
        <v>0.42331494670445458</v>
      </c>
      <c r="C389" s="17">
        <f>IF(AND(問題解答データベース!D389&gt;=小テスト!$C$6,D389&lt;=小テスト!$E$6),1,0)</f>
        <v>1</v>
      </c>
      <c r="D389" s="44">
        <f t="shared" si="15"/>
        <v>388</v>
      </c>
      <c r="E389" s="45" t="s">
        <v>552</v>
      </c>
      <c r="F389" s="46" t="s">
        <v>2301</v>
      </c>
    </row>
    <row r="390" spans="1:6" ht="17">
      <c r="A390" s="15">
        <f t="shared" ca="1" si="16"/>
        <v>1183</v>
      </c>
      <c r="B390" s="16">
        <f t="shared" ca="1" si="14"/>
        <v>0.37485297046640043</v>
      </c>
      <c r="C390" s="17">
        <f>IF(AND(問題解答データベース!D390&gt;=小テスト!$C$6,D390&lt;=小テスト!$E$6),1,0)</f>
        <v>1</v>
      </c>
      <c r="D390" s="44">
        <f t="shared" si="15"/>
        <v>389</v>
      </c>
      <c r="E390" s="45" t="s">
        <v>553</v>
      </c>
      <c r="F390" s="46" t="s">
        <v>2302</v>
      </c>
    </row>
    <row r="391" spans="1:6" ht="17">
      <c r="A391" s="15">
        <f t="shared" ca="1" si="16"/>
        <v>746</v>
      </c>
      <c r="B391" s="16">
        <f t="shared" ca="1" si="14"/>
        <v>0.60481241091208537</v>
      </c>
      <c r="C391" s="17">
        <f>IF(AND(問題解答データベース!D391&gt;=小テスト!$C$6,D391&lt;=小テスト!$E$6),1,0)</f>
        <v>1</v>
      </c>
      <c r="D391" s="44">
        <f t="shared" si="15"/>
        <v>390</v>
      </c>
      <c r="E391" s="45" t="s">
        <v>554</v>
      </c>
      <c r="F391" s="46" t="s">
        <v>2303</v>
      </c>
    </row>
    <row r="392" spans="1:6" ht="17">
      <c r="A392" s="15">
        <f t="shared" ca="1" si="16"/>
        <v>1760</v>
      </c>
      <c r="B392" s="16">
        <f t="shared" ca="1" si="14"/>
        <v>6.8448377247847914E-2</v>
      </c>
      <c r="C392" s="17">
        <f>IF(AND(問題解答データベース!D392&gt;=小テスト!$C$6,D392&lt;=小テスト!$E$6),1,0)</f>
        <v>1</v>
      </c>
      <c r="D392" s="44">
        <f t="shared" si="15"/>
        <v>391</v>
      </c>
      <c r="E392" s="45" t="s">
        <v>555</v>
      </c>
      <c r="F392" s="46" t="s">
        <v>2304</v>
      </c>
    </row>
    <row r="393" spans="1:6" ht="17">
      <c r="A393" s="15">
        <f t="shared" ca="1" si="16"/>
        <v>207</v>
      </c>
      <c r="B393" s="16">
        <f t="shared" ca="1" si="14"/>
        <v>0.89900198102276441</v>
      </c>
      <c r="C393" s="17">
        <f>IF(AND(問題解答データベース!D393&gt;=小テスト!$C$6,D393&lt;=小テスト!$E$6),1,0)</f>
        <v>1</v>
      </c>
      <c r="D393" s="44">
        <f t="shared" si="15"/>
        <v>392</v>
      </c>
      <c r="E393" s="45" t="s">
        <v>556</v>
      </c>
      <c r="F393" s="46" t="s">
        <v>2305</v>
      </c>
    </row>
    <row r="394" spans="1:6" ht="17">
      <c r="A394" s="15">
        <f t="shared" ca="1" si="16"/>
        <v>171</v>
      </c>
      <c r="B394" s="16">
        <f t="shared" ref="B394:B457" ca="1" si="17">IF(C394=1,RAND(),0)</f>
        <v>0.91696686808538586</v>
      </c>
      <c r="C394" s="17">
        <f>IF(AND(問題解答データベース!D394&gt;=小テスト!$C$6,D394&lt;=小テスト!$E$6),1,0)</f>
        <v>1</v>
      </c>
      <c r="D394" s="44">
        <f t="shared" si="15"/>
        <v>393</v>
      </c>
      <c r="E394" s="45" t="s">
        <v>557</v>
      </c>
      <c r="F394" s="46" t="s">
        <v>2306</v>
      </c>
    </row>
    <row r="395" spans="1:6" ht="17">
      <c r="A395" s="15">
        <f t="shared" ca="1" si="16"/>
        <v>1566</v>
      </c>
      <c r="B395" s="16">
        <f t="shared" ca="1" si="17"/>
        <v>0.16990461563993031</v>
      </c>
      <c r="C395" s="17">
        <f>IF(AND(問題解答データベース!D395&gt;=小テスト!$C$6,D395&lt;=小テスト!$E$6),1,0)</f>
        <v>1</v>
      </c>
      <c r="D395" s="44">
        <f t="shared" si="15"/>
        <v>394</v>
      </c>
      <c r="E395" s="45" t="s">
        <v>558</v>
      </c>
      <c r="F395" s="46" t="s">
        <v>2307</v>
      </c>
    </row>
    <row r="396" spans="1:6" ht="17">
      <c r="A396" s="15">
        <f t="shared" ca="1" si="16"/>
        <v>637</v>
      </c>
      <c r="B396" s="16">
        <f t="shared" ca="1" si="17"/>
        <v>0.66260955417239586</v>
      </c>
      <c r="C396" s="17">
        <f>IF(AND(問題解答データベース!D396&gt;=小テスト!$C$6,D396&lt;=小テスト!$E$6),1,0)</f>
        <v>1</v>
      </c>
      <c r="D396" s="44">
        <f t="shared" si="15"/>
        <v>395</v>
      </c>
      <c r="E396" s="45" t="s">
        <v>559</v>
      </c>
      <c r="F396" s="46" t="s">
        <v>2308</v>
      </c>
    </row>
    <row r="397" spans="1:6" ht="17">
      <c r="A397" s="15">
        <f t="shared" ca="1" si="16"/>
        <v>1031</v>
      </c>
      <c r="B397" s="16">
        <f t="shared" ca="1" si="17"/>
        <v>0.46690401380016944</v>
      </c>
      <c r="C397" s="17">
        <f>IF(AND(問題解答データベース!D397&gt;=小テスト!$C$6,D397&lt;=小テスト!$E$6),1,0)</f>
        <v>1</v>
      </c>
      <c r="D397" s="44">
        <f t="shared" ref="D397:D460" si="18">D396+1</f>
        <v>396</v>
      </c>
      <c r="E397" s="45" t="s">
        <v>560</v>
      </c>
      <c r="F397" s="46" t="s">
        <v>2309</v>
      </c>
    </row>
    <row r="398" spans="1:6" ht="17">
      <c r="A398" s="15">
        <f t="shared" ca="1" si="16"/>
        <v>1851</v>
      </c>
      <c r="B398" s="16">
        <f t="shared" ca="1" si="17"/>
        <v>2.2921673709463075E-2</v>
      </c>
      <c r="C398" s="17">
        <f>IF(AND(問題解答データベース!D398&gt;=小テスト!$C$6,D398&lt;=小テスト!$E$6),1,0)</f>
        <v>1</v>
      </c>
      <c r="D398" s="44">
        <f t="shared" si="18"/>
        <v>397</v>
      </c>
      <c r="E398" s="45" t="s">
        <v>561</v>
      </c>
      <c r="F398" s="46" t="s">
        <v>2310</v>
      </c>
    </row>
    <row r="399" spans="1:6" ht="17">
      <c r="A399" s="15">
        <f t="shared" ca="1" si="16"/>
        <v>1392</v>
      </c>
      <c r="B399" s="16">
        <f t="shared" ca="1" si="17"/>
        <v>0.26882519519162817</v>
      </c>
      <c r="C399" s="17">
        <f>IF(AND(問題解答データベース!D399&gt;=小テスト!$C$6,D399&lt;=小テスト!$E$6),1,0)</f>
        <v>1</v>
      </c>
      <c r="D399" s="44">
        <f t="shared" si="18"/>
        <v>398</v>
      </c>
      <c r="E399" s="45" t="s">
        <v>562</v>
      </c>
      <c r="F399" s="46" t="s">
        <v>2311</v>
      </c>
    </row>
    <row r="400" spans="1:6" ht="17">
      <c r="A400" s="15">
        <f t="shared" ca="1" si="16"/>
        <v>974</v>
      </c>
      <c r="B400" s="16">
        <f t="shared" ca="1" si="17"/>
        <v>0.4884582145046622</v>
      </c>
      <c r="C400" s="17">
        <f>IF(AND(問題解答データベース!D400&gt;=小テスト!$C$6,D400&lt;=小テスト!$E$6),1,0)</f>
        <v>1</v>
      </c>
      <c r="D400" s="44">
        <f t="shared" si="18"/>
        <v>399</v>
      </c>
      <c r="E400" s="45" t="s">
        <v>563</v>
      </c>
      <c r="F400" s="46" t="s">
        <v>2312</v>
      </c>
    </row>
    <row r="401" spans="1:6" ht="17">
      <c r="A401" s="15">
        <f t="shared" ca="1" si="16"/>
        <v>186</v>
      </c>
      <c r="B401" s="16">
        <f t="shared" ca="1" si="17"/>
        <v>0.91031052198982421</v>
      </c>
      <c r="C401" s="17">
        <f>IF(AND(問題解答データベース!D401&gt;=小テスト!$C$6,D401&lt;=小テスト!$E$6),1,0)</f>
        <v>1</v>
      </c>
      <c r="D401" s="44">
        <f t="shared" si="18"/>
        <v>400</v>
      </c>
      <c r="E401" s="45" t="s">
        <v>564</v>
      </c>
      <c r="F401" s="46" t="s">
        <v>2313</v>
      </c>
    </row>
    <row r="402" spans="1:6" ht="17">
      <c r="A402" s="15">
        <f t="shared" ca="1" si="16"/>
        <v>61</v>
      </c>
      <c r="B402" s="16">
        <f t="shared" ca="1" si="17"/>
        <v>0.96812041510704372</v>
      </c>
      <c r="C402" s="17">
        <f>IF(AND(問題解答データベース!D402&gt;=小テスト!$C$6,D402&lt;=小テスト!$E$6),1,0)</f>
        <v>1</v>
      </c>
      <c r="D402" s="44">
        <f t="shared" si="18"/>
        <v>401</v>
      </c>
      <c r="E402" s="45" t="s">
        <v>565</v>
      </c>
      <c r="F402" s="46" t="s">
        <v>2314</v>
      </c>
    </row>
    <row r="403" spans="1:6" ht="17">
      <c r="A403" s="15">
        <f t="shared" ca="1" si="16"/>
        <v>1103</v>
      </c>
      <c r="B403" s="16">
        <f t="shared" ca="1" si="17"/>
        <v>0.42157333390552987</v>
      </c>
      <c r="C403" s="17">
        <f>IF(AND(問題解答データベース!D403&gt;=小テスト!$C$6,D403&lt;=小テスト!$E$6),1,0)</f>
        <v>1</v>
      </c>
      <c r="D403" s="44">
        <f t="shared" si="18"/>
        <v>402</v>
      </c>
      <c r="E403" s="45" t="s">
        <v>566</v>
      </c>
      <c r="F403" s="46" t="s">
        <v>2315</v>
      </c>
    </row>
    <row r="404" spans="1:6" ht="17">
      <c r="A404" s="15">
        <f t="shared" ca="1" si="16"/>
        <v>1334</v>
      </c>
      <c r="B404" s="16">
        <f t="shared" ca="1" si="17"/>
        <v>0.29960872598327748</v>
      </c>
      <c r="C404" s="17">
        <f>IF(AND(問題解答データベース!D404&gt;=小テスト!$C$6,D404&lt;=小テスト!$E$6),1,0)</f>
        <v>1</v>
      </c>
      <c r="D404" s="44">
        <f t="shared" si="18"/>
        <v>403</v>
      </c>
      <c r="E404" s="45" t="s">
        <v>567</v>
      </c>
      <c r="F404" s="46" t="s">
        <v>2316</v>
      </c>
    </row>
    <row r="405" spans="1:6" ht="17">
      <c r="A405" s="15">
        <f t="shared" ca="1" si="16"/>
        <v>1092</v>
      </c>
      <c r="B405" s="16">
        <f t="shared" ca="1" si="17"/>
        <v>0.42754383532941809</v>
      </c>
      <c r="C405" s="17">
        <f>IF(AND(問題解答データベース!D405&gt;=小テスト!$C$6,D405&lt;=小テスト!$E$6),1,0)</f>
        <v>1</v>
      </c>
      <c r="D405" s="44">
        <f t="shared" si="18"/>
        <v>404</v>
      </c>
      <c r="E405" s="45" t="s">
        <v>568</v>
      </c>
      <c r="F405" s="46" t="s">
        <v>2317</v>
      </c>
    </row>
    <row r="406" spans="1:6" ht="17">
      <c r="A406" s="15">
        <f t="shared" ca="1" si="16"/>
        <v>1670</v>
      </c>
      <c r="B406" s="16">
        <f t="shared" ca="1" si="17"/>
        <v>0.11600531201550346</v>
      </c>
      <c r="C406" s="17">
        <f>IF(AND(問題解答データベース!D406&gt;=小テスト!$C$6,D406&lt;=小テスト!$E$6),1,0)</f>
        <v>1</v>
      </c>
      <c r="D406" s="44">
        <f t="shared" si="18"/>
        <v>405</v>
      </c>
      <c r="E406" s="45" t="s">
        <v>569</v>
      </c>
      <c r="F406" s="46" t="s">
        <v>2318</v>
      </c>
    </row>
    <row r="407" spans="1:6" ht="17">
      <c r="A407" s="15">
        <f t="shared" ca="1" si="16"/>
        <v>1245</v>
      </c>
      <c r="B407" s="16">
        <f t="shared" ca="1" si="17"/>
        <v>0.35415583141565277</v>
      </c>
      <c r="C407" s="17">
        <f>IF(AND(問題解答データベース!D407&gt;=小テスト!$C$6,D407&lt;=小テスト!$E$6),1,0)</f>
        <v>1</v>
      </c>
      <c r="D407" s="44">
        <f t="shared" si="18"/>
        <v>406</v>
      </c>
      <c r="E407" s="45" t="s">
        <v>570</v>
      </c>
      <c r="F407" s="46" t="s">
        <v>2319</v>
      </c>
    </row>
    <row r="408" spans="1:6" ht="17">
      <c r="A408" s="15">
        <f t="shared" ca="1" si="16"/>
        <v>897</v>
      </c>
      <c r="B408" s="16">
        <f t="shared" ca="1" si="17"/>
        <v>0.52483394746202161</v>
      </c>
      <c r="C408" s="17">
        <f>IF(AND(問題解答データベース!D408&gt;=小テスト!$C$6,D408&lt;=小テスト!$E$6),1,0)</f>
        <v>1</v>
      </c>
      <c r="D408" s="44">
        <f t="shared" si="18"/>
        <v>407</v>
      </c>
      <c r="E408" s="45" t="s">
        <v>571</v>
      </c>
      <c r="F408" s="46" t="s">
        <v>2320</v>
      </c>
    </row>
    <row r="409" spans="1:6" ht="17">
      <c r="A409" s="15">
        <f t="shared" ca="1" si="16"/>
        <v>1807</v>
      </c>
      <c r="B409" s="16">
        <f t="shared" ca="1" si="17"/>
        <v>4.5181860088599368E-2</v>
      </c>
      <c r="C409" s="17">
        <f>IF(AND(問題解答データベース!D409&gt;=小テスト!$C$6,D409&lt;=小テスト!$E$6),1,0)</f>
        <v>1</v>
      </c>
      <c r="D409" s="44">
        <f t="shared" si="18"/>
        <v>408</v>
      </c>
      <c r="E409" s="45" t="s">
        <v>572</v>
      </c>
      <c r="F409" s="46" t="s">
        <v>2321</v>
      </c>
    </row>
    <row r="410" spans="1:6" ht="17">
      <c r="A410" s="15">
        <f t="shared" ca="1" si="16"/>
        <v>282</v>
      </c>
      <c r="B410" s="16">
        <f t="shared" ca="1" si="17"/>
        <v>0.85451945023084652</v>
      </c>
      <c r="C410" s="17">
        <f>IF(AND(問題解答データベース!D410&gt;=小テスト!$C$6,D410&lt;=小テスト!$E$6),1,0)</f>
        <v>1</v>
      </c>
      <c r="D410" s="44">
        <f t="shared" si="18"/>
        <v>409</v>
      </c>
      <c r="E410" s="45" t="s">
        <v>573</v>
      </c>
      <c r="F410" s="46" t="s">
        <v>2322</v>
      </c>
    </row>
    <row r="411" spans="1:6" ht="17">
      <c r="A411" s="15">
        <f t="shared" ca="1" si="16"/>
        <v>544</v>
      </c>
      <c r="B411" s="16">
        <f t="shared" ca="1" si="17"/>
        <v>0.71590288942533498</v>
      </c>
      <c r="C411" s="17">
        <f>IF(AND(問題解答データベース!D411&gt;=小テスト!$C$6,D411&lt;=小テスト!$E$6),1,0)</f>
        <v>1</v>
      </c>
      <c r="D411" s="44">
        <f t="shared" si="18"/>
        <v>410</v>
      </c>
      <c r="E411" s="45" t="s">
        <v>574</v>
      </c>
      <c r="F411" s="46" t="s">
        <v>2323</v>
      </c>
    </row>
    <row r="412" spans="1:6" ht="17">
      <c r="A412" s="15">
        <f t="shared" ca="1" si="16"/>
        <v>1645</v>
      </c>
      <c r="B412" s="16">
        <f t="shared" ca="1" si="17"/>
        <v>0.1296559152736404</v>
      </c>
      <c r="C412" s="17">
        <f>IF(AND(問題解答データベース!D412&gt;=小テスト!$C$6,D412&lt;=小テスト!$E$6),1,0)</f>
        <v>1</v>
      </c>
      <c r="D412" s="44">
        <f t="shared" si="18"/>
        <v>411</v>
      </c>
      <c r="E412" s="45" t="s">
        <v>575</v>
      </c>
      <c r="F412" s="46" t="s">
        <v>2324</v>
      </c>
    </row>
    <row r="413" spans="1:6" ht="17">
      <c r="A413" s="15">
        <f t="shared" ca="1" si="16"/>
        <v>499</v>
      </c>
      <c r="B413" s="16">
        <f t="shared" ca="1" si="17"/>
        <v>0.74061462872687989</v>
      </c>
      <c r="C413" s="17">
        <f>IF(AND(問題解答データベース!D413&gt;=小テスト!$C$6,D413&lt;=小テスト!$E$6),1,0)</f>
        <v>1</v>
      </c>
      <c r="D413" s="44">
        <f t="shared" si="18"/>
        <v>412</v>
      </c>
      <c r="E413" s="45" t="s">
        <v>576</v>
      </c>
      <c r="F413" s="46" t="s">
        <v>2325</v>
      </c>
    </row>
    <row r="414" spans="1:6" ht="17">
      <c r="A414" s="15">
        <f t="shared" ca="1" si="16"/>
        <v>1228</v>
      </c>
      <c r="B414" s="16">
        <f t="shared" ca="1" si="17"/>
        <v>0.36050748382775499</v>
      </c>
      <c r="C414" s="17">
        <f>IF(AND(問題解答データベース!D414&gt;=小テスト!$C$6,D414&lt;=小テスト!$E$6),1,0)</f>
        <v>1</v>
      </c>
      <c r="D414" s="44">
        <f t="shared" si="18"/>
        <v>413</v>
      </c>
      <c r="E414" s="45" t="s">
        <v>577</v>
      </c>
      <c r="F414" s="46" t="s">
        <v>2326</v>
      </c>
    </row>
    <row r="415" spans="1:6" ht="17">
      <c r="A415" s="15">
        <f t="shared" ca="1" si="16"/>
        <v>1504</v>
      </c>
      <c r="B415" s="16">
        <f t="shared" ca="1" si="17"/>
        <v>0.19971752458022596</v>
      </c>
      <c r="C415" s="17">
        <f>IF(AND(問題解答データベース!D415&gt;=小テスト!$C$6,D415&lt;=小テスト!$E$6),1,0)</f>
        <v>1</v>
      </c>
      <c r="D415" s="44">
        <f t="shared" si="18"/>
        <v>414</v>
      </c>
      <c r="E415" s="45" t="s">
        <v>578</v>
      </c>
      <c r="F415" s="46" t="s">
        <v>2327</v>
      </c>
    </row>
    <row r="416" spans="1:6" ht="17">
      <c r="A416" s="15">
        <f t="shared" ca="1" si="16"/>
        <v>1481</v>
      </c>
      <c r="B416" s="16">
        <f t="shared" ca="1" si="17"/>
        <v>0.21418109717141376</v>
      </c>
      <c r="C416" s="17">
        <f>IF(AND(問題解答データベース!D416&gt;=小テスト!$C$6,D416&lt;=小テスト!$E$6),1,0)</f>
        <v>1</v>
      </c>
      <c r="D416" s="44">
        <f t="shared" si="18"/>
        <v>415</v>
      </c>
      <c r="E416" s="45" t="s">
        <v>579</v>
      </c>
      <c r="F416" s="46" t="s">
        <v>2328</v>
      </c>
    </row>
    <row r="417" spans="1:6" ht="17">
      <c r="A417" s="15">
        <f t="shared" ca="1" si="16"/>
        <v>1292</v>
      </c>
      <c r="B417" s="16">
        <f t="shared" ca="1" si="17"/>
        <v>0.32504874507007064</v>
      </c>
      <c r="C417" s="17">
        <f>IF(AND(問題解答データベース!D417&gt;=小テスト!$C$6,D417&lt;=小テスト!$E$6),1,0)</f>
        <v>1</v>
      </c>
      <c r="D417" s="44">
        <f t="shared" si="18"/>
        <v>416</v>
      </c>
      <c r="E417" s="45" t="s">
        <v>580</v>
      </c>
      <c r="F417" s="46" t="s">
        <v>2329</v>
      </c>
    </row>
    <row r="418" spans="1:6" ht="17">
      <c r="A418" s="15">
        <f t="shared" ca="1" si="16"/>
        <v>564</v>
      </c>
      <c r="B418" s="16">
        <f t="shared" ca="1" si="17"/>
        <v>0.70627011635724424</v>
      </c>
      <c r="C418" s="17">
        <f>IF(AND(問題解答データベース!D418&gt;=小テスト!$C$6,D418&lt;=小テスト!$E$6),1,0)</f>
        <v>1</v>
      </c>
      <c r="D418" s="44">
        <f t="shared" si="18"/>
        <v>417</v>
      </c>
      <c r="E418" s="45" t="s">
        <v>581</v>
      </c>
      <c r="F418" s="46" t="s">
        <v>2330</v>
      </c>
    </row>
    <row r="419" spans="1:6" ht="17">
      <c r="A419" s="15">
        <f t="shared" ca="1" si="16"/>
        <v>1666</v>
      </c>
      <c r="B419" s="16">
        <f t="shared" ca="1" si="17"/>
        <v>0.11874085553644109</v>
      </c>
      <c r="C419" s="17">
        <f>IF(AND(問題解答データベース!D419&gt;=小テスト!$C$6,D419&lt;=小テスト!$E$6),1,0)</f>
        <v>1</v>
      </c>
      <c r="D419" s="44">
        <f t="shared" si="18"/>
        <v>418</v>
      </c>
      <c r="E419" s="45" t="s">
        <v>582</v>
      </c>
      <c r="F419" s="46" t="s">
        <v>2331</v>
      </c>
    </row>
    <row r="420" spans="1:6" ht="17">
      <c r="A420" s="15">
        <f t="shared" ca="1" si="16"/>
        <v>786</v>
      </c>
      <c r="B420" s="16">
        <f t="shared" ca="1" si="17"/>
        <v>0.58235836198328517</v>
      </c>
      <c r="C420" s="17">
        <f>IF(AND(問題解答データベース!D420&gt;=小テスト!$C$6,D420&lt;=小テスト!$E$6),1,0)</f>
        <v>1</v>
      </c>
      <c r="D420" s="44">
        <f t="shared" si="18"/>
        <v>419</v>
      </c>
      <c r="E420" s="45" t="s">
        <v>583</v>
      </c>
      <c r="F420" s="46" t="s">
        <v>2332</v>
      </c>
    </row>
    <row r="421" spans="1:6" ht="17">
      <c r="A421" s="15">
        <f t="shared" ca="1" si="16"/>
        <v>466</v>
      </c>
      <c r="B421" s="16">
        <f t="shared" ca="1" si="17"/>
        <v>0.75960212654765324</v>
      </c>
      <c r="C421" s="17">
        <f>IF(AND(問題解答データベース!D421&gt;=小テスト!$C$6,D421&lt;=小テスト!$E$6),1,0)</f>
        <v>1</v>
      </c>
      <c r="D421" s="44">
        <f t="shared" si="18"/>
        <v>420</v>
      </c>
      <c r="E421" s="45" t="s">
        <v>584</v>
      </c>
      <c r="F421" s="46" t="s">
        <v>2333</v>
      </c>
    </row>
    <row r="422" spans="1:6" ht="17">
      <c r="A422" s="15">
        <f t="shared" ca="1" si="16"/>
        <v>1777</v>
      </c>
      <c r="B422" s="16">
        <f t="shared" ca="1" si="17"/>
        <v>6.0531941508514042E-2</v>
      </c>
      <c r="C422" s="17">
        <f>IF(AND(問題解答データベース!D422&gt;=小テスト!$C$6,D422&lt;=小テスト!$E$6),1,0)</f>
        <v>1</v>
      </c>
      <c r="D422" s="44">
        <f t="shared" si="18"/>
        <v>421</v>
      </c>
      <c r="E422" s="45" t="s">
        <v>585</v>
      </c>
      <c r="F422" s="46" t="s">
        <v>2334</v>
      </c>
    </row>
    <row r="423" spans="1:6" ht="17">
      <c r="A423" s="15">
        <f t="shared" ca="1" si="16"/>
        <v>1717</v>
      </c>
      <c r="B423" s="16">
        <f t="shared" ca="1" si="17"/>
        <v>9.0225758952834245E-2</v>
      </c>
      <c r="C423" s="17">
        <f>IF(AND(問題解答データベース!D423&gt;=小テスト!$C$6,D423&lt;=小テスト!$E$6),1,0)</f>
        <v>1</v>
      </c>
      <c r="D423" s="44">
        <f t="shared" si="18"/>
        <v>422</v>
      </c>
      <c r="E423" s="45" t="s">
        <v>586</v>
      </c>
      <c r="F423" s="46" t="s">
        <v>2335</v>
      </c>
    </row>
    <row r="424" spans="1:6" ht="17">
      <c r="A424" s="15">
        <f t="shared" ca="1" si="16"/>
        <v>890</v>
      </c>
      <c r="B424" s="16">
        <f t="shared" ca="1" si="17"/>
        <v>0.52907509437091871</v>
      </c>
      <c r="C424" s="17">
        <f>IF(AND(問題解答データベース!D424&gt;=小テスト!$C$6,D424&lt;=小テスト!$E$6),1,0)</f>
        <v>1</v>
      </c>
      <c r="D424" s="44">
        <f t="shared" si="18"/>
        <v>423</v>
      </c>
      <c r="E424" s="45" t="s">
        <v>587</v>
      </c>
      <c r="F424" s="46" t="s">
        <v>2336</v>
      </c>
    </row>
    <row r="425" spans="1:6" ht="17">
      <c r="A425" s="15">
        <f t="shared" ca="1" si="16"/>
        <v>1840</v>
      </c>
      <c r="B425" s="16">
        <f t="shared" ca="1" si="17"/>
        <v>2.973251172719571E-2</v>
      </c>
      <c r="C425" s="17">
        <f>IF(AND(問題解答データベース!D425&gt;=小テスト!$C$6,D425&lt;=小テスト!$E$6),1,0)</f>
        <v>1</v>
      </c>
      <c r="D425" s="44">
        <f t="shared" si="18"/>
        <v>424</v>
      </c>
      <c r="E425" s="45" t="s">
        <v>588</v>
      </c>
      <c r="F425" s="46" t="s">
        <v>2337</v>
      </c>
    </row>
    <row r="426" spans="1:6" ht="17">
      <c r="A426" s="15">
        <f t="shared" ca="1" si="16"/>
        <v>1124</v>
      </c>
      <c r="B426" s="16">
        <f t="shared" ca="1" si="17"/>
        <v>0.41275336565905107</v>
      </c>
      <c r="C426" s="17">
        <f>IF(AND(問題解答データベース!D426&gt;=小テスト!$C$6,D426&lt;=小テスト!$E$6),1,0)</f>
        <v>1</v>
      </c>
      <c r="D426" s="44">
        <f t="shared" si="18"/>
        <v>425</v>
      </c>
      <c r="E426" s="45" t="s">
        <v>589</v>
      </c>
      <c r="F426" s="46" t="s">
        <v>2338</v>
      </c>
    </row>
    <row r="427" spans="1:6" ht="17">
      <c r="A427" s="15">
        <f t="shared" ca="1" si="16"/>
        <v>323</v>
      </c>
      <c r="B427" s="16">
        <f t="shared" ca="1" si="17"/>
        <v>0.82653196321360622</v>
      </c>
      <c r="C427" s="17">
        <f>IF(AND(問題解答データベース!D427&gt;=小テスト!$C$6,D427&lt;=小テスト!$E$6),1,0)</f>
        <v>1</v>
      </c>
      <c r="D427" s="44">
        <f t="shared" si="18"/>
        <v>426</v>
      </c>
      <c r="E427" s="45" t="s">
        <v>590</v>
      </c>
      <c r="F427" s="46" t="s">
        <v>2339</v>
      </c>
    </row>
    <row r="428" spans="1:6" ht="17">
      <c r="A428" s="15">
        <f t="shared" ca="1" si="16"/>
        <v>1433</v>
      </c>
      <c r="B428" s="16">
        <f t="shared" ca="1" si="17"/>
        <v>0.24668159682305879</v>
      </c>
      <c r="C428" s="17">
        <f>IF(AND(問題解答データベース!D428&gt;=小テスト!$C$6,D428&lt;=小テスト!$E$6),1,0)</f>
        <v>1</v>
      </c>
      <c r="D428" s="44">
        <f t="shared" si="18"/>
        <v>427</v>
      </c>
      <c r="E428" s="45" t="s">
        <v>591</v>
      </c>
      <c r="F428" s="46" t="s">
        <v>2340</v>
      </c>
    </row>
    <row r="429" spans="1:6" ht="17">
      <c r="A429" s="15">
        <f t="shared" ca="1" si="16"/>
        <v>1522</v>
      </c>
      <c r="B429" s="16">
        <f t="shared" ca="1" si="17"/>
        <v>0.19085415477217349</v>
      </c>
      <c r="C429" s="17">
        <f>IF(AND(問題解答データベース!D429&gt;=小テスト!$C$6,D429&lt;=小テスト!$E$6),1,0)</f>
        <v>1</v>
      </c>
      <c r="D429" s="44">
        <f t="shared" si="18"/>
        <v>428</v>
      </c>
      <c r="E429" s="45" t="s">
        <v>592</v>
      </c>
      <c r="F429" s="46" t="s">
        <v>2341</v>
      </c>
    </row>
    <row r="430" spans="1:6" ht="17">
      <c r="A430" s="15">
        <f t="shared" ca="1" si="16"/>
        <v>505</v>
      </c>
      <c r="B430" s="16">
        <f t="shared" ca="1" si="17"/>
        <v>0.73761961558517319</v>
      </c>
      <c r="C430" s="17">
        <f>IF(AND(問題解答データベース!D430&gt;=小テスト!$C$6,D430&lt;=小テスト!$E$6),1,0)</f>
        <v>1</v>
      </c>
      <c r="D430" s="44">
        <f t="shared" si="18"/>
        <v>429</v>
      </c>
      <c r="E430" s="45" t="s">
        <v>593</v>
      </c>
      <c r="F430" s="46" t="s">
        <v>2342</v>
      </c>
    </row>
    <row r="431" spans="1:6" ht="17">
      <c r="A431" s="15">
        <f t="shared" ca="1" si="16"/>
        <v>1403</v>
      </c>
      <c r="B431" s="16">
        <f t="shared" ca="1" si="17"/>
        <v>0.26398887194589415</v>
      </c>
      <c r="C431" s="17">
        <f>IF(AND(問題解答データベース!D431&gt;=小テスト!$C$6,D431&lt;=小テスト!$E$6),1,0)</f>
        <v>1</v>
      </c>
      <c r="D431" s="44">
        <f t="shared" si="18"/>
        <v>430</v>
      </c>
      <c r="E431" s="45" t="s">
        <v>594</v>
      </c>
      <c r="F431" s="46" t="s">
        <v>2343</v>
      </c>
    </row>
    <row r="432" spans="1:6" ht="17">
      <c r="A432" s="15">
        <f t="shared" ca="1" si="16"/>
        <v>640</v>
      </c>
      <c r="B432" s="16">
        <f t="shared" ca="1" si="17"/>
        <v>0.66133615490373554</v>
      </c>
      <c r="C432" s="17">
        <f>IF(AND(問題解答データベース!D432&gt;=小テスト!$C$6,D432&lt;=小テスト!$E$6),1,0)</f>
        <v>1</v>
      </c>
      <c r="D432" s="44">
        <f t="shared" si="18"/>
        <v>431</v>
      </c>
      <c r="E432" s="45" t="s">
        <v>595</v>
      </c>
      <c r="F432" s="46" t="s">
        <v>2344</v>
      </c>
    </row>
    <row r="433" spans="1:6" ht="17">
      <c r="A433" s="15">
        <f t="shared" ca="1" si="16"/>
        <v>881</v>
      </c>
      <c r="B433" s="16">
        <f t="shared" ca="1" si="17"/>
        <v>0.53308550118957343</v>
      </c>
      <c r="C433" s="17">
        <f>IF(AND(問題解答データベース!D433&gt;=小テスト!$C$6,D433&lt;=小テスト!$E$6),1,0)</f>
        <v>1</v>
      </c>
      <c r="D433" s="44">
        <f t="shared" si="18"/>
        <v>432</v>
      </c>
      <c r="E433" s="45" t="s">
        <v>596</v>
      </c>
      <c r="F433" s="46" t="s">
        <v>2345</v>
      </c>
    </row>
    <row r="434" spans="1:6" ht="17">
      <c r="A434" s="15">
        <f t="shared" ca="1" si="16"/>
        <v>1577</v>
      </c>
      <c r="B434" s="16">
        <f t="shared" ca="1" si="17"/>
        <v>0.16622460463008104</v>
      </c>
      <c r="C434" s="17">
        <f>IF(AND(問題解答データベース!D434&gt;=小テスト!$C$6,D434&lt;=小テスト!$E$6),1,0)</f>
        <v>1</v>
      </c>
      <c r="D434" s="44">
        <f t="shared" si="18"/>
        <v>433</v>
      </c>
      <c r="E434" s="45" t="s">
        <v>597</v>
      </c>
      <c r="F434" s="46" t="s">
        <v>2346</v>
      </c>
    </row>
    <row r="435" spans="1:6" ht="17">
      <c r="A435" s="15">
        <f t="shared" ca="1" si="16"/>
        <v>842</v>
      </c>
      <c r="B435" s="16">
        <f t="shared" ca="1" si="17"/>
        <v>0.55205306077892458</v>
      </c>
      <c r="C435" s="17">
        <f>IF(AND(問題解答データベース!D435&gt;=小テスト!$C$6,D435&lt;=小テスト!$E$6),1,0)</f>
        <v>1</v>
      </c>
      <c r="D435" s="44">
        <f t="shared" si="18"/>
        <v>434</v>
      </c>
      <c r="E435" s="45" t="s">
        <v>598</v>
      </c>
      <c r="F435" s="46" t="s">
        <v>2347</v>
      </c>
    </row>
    <row r="436" spans="1:6" ht="17">
      <c r="A436" s="15">
        <f t="shared" ca="1" si="16"/>
        <v>82</v>
      </c>
      <c r="B436" s="16">
        <f t="shared" ca="1" si="17"/>
        <v>0.96043442502448273</v>
      </c>
      <c r="C436" s="17">
        <f>IF(AND(問題解答データベース!D436&gt;=小テスト!$C$6,D436&lt;=小テスト!$E$6),1,0)</f>
        <v>1</v>
      </c>
      <c r="D436" s="44">
        <f t="shared" si="18"/>
        <v>435</v>
      </c>
      <c r="E436" s="45" t="s">
        <v>599</v>
      </c>
      <c r="F436" s="46" t="s">
        <v>2348</v>
      </c>
    </row>
    <row r="437" spans="1:6" ht="17">
      <c r="A437" s="15">
        <f t="shared" ca="1" si="16"/>
        <v>1824</v>
      </c>
      <c r="B437" s="16">
        <f t="shared" ca="1" si="17"/>
        <v>3.7807202159990339E-2</v>
      </c>
      <c r="C437" s="17">
        <f>IF(AND(問題解答データベース!D437&gt;=小テスト!$C$6,D437&lt;=小テスト!$E$6),1,0)</f>
        <v>1</v>
      </c>
      <c r="D437" s="44">
        <f t="shared" si="18"/>
        <v>436</v>
      </c>
      <c r="E437" s="45" t="s">
        <v>600</v>
      </c>
      <c r="F437" s="46" t="s">
        <v>2349</v>
      </c>
    </row>
    <row r="438" spans="1:6" ht="17">
      <c r="A438" s="15">
        <f t="shared" ca="1" si="16"/>
        <v>1227</v>
      </c>
      <c r="B438" s="16">
        <f t="shared" ca="1" si="17"/>
        <v>0.36184346579376947</v>
      </c>
      <c r="C438" s="17">
        <f>IF(AND(問題解答データベース!D438&gt;=小テスト!$C$6,D438&lt;=小テスト!$E$6),1,0)</f>
        <v>1</v>
      </c>
      <c r="D438" s="44">
        <f t="shared" si="18"/>
        <v>437</v>
      </c>
      <c r="E438" s="45" t="s">
        <v>601</v>
      </c>
      <c r="F438" s="46" t="s">
        <v>2350</v>
      </c>
    </row>
    <row r="439" spans="1:6" ht="17">
      <c r="A439" s="15">
        <f t="shared" ca="1" si="16"/>
        <v>926</v>
      </c>
      <c r="B439" s="16">
        <f t="shared" ca="1" si="17"/>
        <v>0.51225453849809588</v>
      </c>
      <c r="C439" s="17">
        <f>IF(AND(問題解答データベース!D439&gt;=小テスト!$C$6,D439&lt;=小テスト!$E$6),1,0)</f>
        <v>1</v>
      </c>
      <c r="D439" s="44">
        <f t="shared" si="18"/>
        <v>438</v>
      </c>
      <c r="E439" s="45" t="s">
        <v>602</v>
      </c>
      <c r="F439" s="46" t="s">
        <v>2351</v>
      </c>
    </row>
    <row r="440" spans="1:6" ht="17">
      <c r="A440" s="15">
        <f t="shared" ca="1" si="16"/>
        <v>1569</v>
      </c>
      <c r="B440" s="16">
        <f t="shared" ca="1" si="17"/>
        <v>0.16885283809077023</v>
      </c>
      <c r="C440" s="17">
        <f>IF(AND(問題解答データベース!D440&gt;=小テスト!$C$6,D440&lt;=小テスト!$E$6),1,0)</f>
        <v>1</v>
      </c>
      <c r="D440" s="44">
        <f t="shared" si="18"/>
        <v>439</v>
      </c>
      <c r="E440" s="45" t="s">
        <v>603</v>
      </c>
      <c r="F440" s="46" t="s">
        <v>2352</v>
      </c>
    </row>
    <row r="441" spans="1:6" ht="17">
      <c r="A441" s="15">
        <f t="shared" ca="1" si="16"/>
        <v>1500</v>
      </c>
      <c r="B441" s="16">
        <f t="shared" ca="1" si="17"/>
        <v>0.20114993699125572</v>
      </c>
      <c r="C441" s="17">
        <f>IF(AND(問題解答データベース!D441&gt;=小テスト!$C$6,D441&lt;=小テスト!$E$6),1,0)</f>
        <v>1</v>
      </c>
      <c r="D441" s="44">
        <f t="shared" si="18"/>
        <v>440</v>
      </c>
      <c r="E441" s="45" t="s">
        <v>604</v>
      </c>
      <c r="F441" s="46" t="s">
        <v>2353</v>
      </c>
    </row>
    <row r="442" spans="1:6" ht="17">
      <c r="A442" s="15">
        <f t="shared" ca="1" si="16"/>
        <v>1222</v>
      </c>
      <c r="B442" s="16">
        <f t="shared" ca="1" si="17"/>
        <v>0.36244655561354644</v>
      </c>
      <c r="C442" s="17">
        <f>IF(AND(問題解答データベース!D442&gt;=小テスト!$C$6,D442&lt;=小テスト!$E$6),1,0)</f>
        <v>1</v>
      </c>
      <c r="D442" s="44">
        <f t="shared" si="18"/>
        <v>441</v>
      </c>
      <c r="E442" s="45" t="s">
        <v>605</v>
      </c>
      <c r="F442" s="46" t="s">
        <v>2354</v>
      </c>
    </row>
    <row r="443" spans="1:6" ht="17">
      <c r="A443" s="15">
        <f t="shared" ca="1" si="16"/>
        <v>275</v>
      </c>
      <c r="B443" s="16">
        <f t="shared" ca="1" si="17"/>
        <v>0.85698573960692381</v>
      </c>
      <c r="C443" s="17">
        <f>IF(AND(問題解答データベース!D443&gt;=小テスト!$C$6,D443&lt;=小テスト!$E$6),1,0)</f>
        <v>1</v>
      </c>
      <c r="D443" s="44">
        <f t="shared" si="18"/>
        <v>442</v>
      </c>
      <c r="E443" s="45" t="s">
        <v>606</v>
      </c>
      <c r="F443" s="46" t="s">
        <v>2355</v>
      </c>
    </row>
    <row r="444" spans="1:6" ht="17">
      <c r="A444" s="15">
        <f t="shared" ca="1" si="16"/>
        <v>1398</v>
      </c>
      <c r="B444" s="16">
        <f t="shared" ca="1" si="17"/>
        <v>0.26698596930471574</v>
      </c>
      <c r="C444" s="17">
        <f>IF(AND(問題解答データベース!D444&gt;=小テスト!$C$6,D444&lt;=小テスト!$E$6),1,0)</f>
        <v>1</v>
      </c>
      <c r="D444" s="44">
        <f t="shared" si="18"/>
        <v>443</v>
      </c>
      <c r="E444" s="45" t="s">
        <v>607</v>
      </c>
      <c r="F444" s="46" t="s">
        <v>2356</v>
      </c>
    </row>
    <row r="445" spans="1:6" ht="17">
      <c r="A445" s="15">
        <f t="shared" ca="1" si="16"/>
        <v>63</v>
      </c>
      <c r="B445" s="16">
        <f t="shared" ca="1" si="17"/>
        <v>0.96798736147947251</v>
      </c>
      <c r="C445" s="17">
        <f>IF(AND(問題解答データベース!D445&gt;=小テスト!$C$6,D445&lt;=小テスト!$E$6),1,0)</f>
        <v>1</v>
      </c>
      <c r="D445" s="44">
        <f t="shared" si="18"/>
        <v>444</v>
      </c>
      <c r="E445" s="45" t="s">
        <v>608</v>
      </c>
      <c r="F445" s="46" t="s">
        <v>2357</v>
      </c>
    </row>
    <row r="446" spans="1:6" ht="17">
      <c r="A446" s="15">
        <f t="shared" ca="1" si="16"/>
        <v>1368</v>
      </c>
      <c r="B446" s="16">
        <f t="shared" ca="1" si="17"/>
        <v>0.28518084531280419</v>
      </c>
      <c r="C446" s="17">
        <f>IF(AND(問題解答データベース!D446&gt;=小テスト!$C$6,D446&lt;=小テスト!$E$6),1,0)</f>
        <v>1</v>
      </c>
      <c r="D446" s="44">
        <f t="shared" si="18"/>
        <v>445</v>
      </c>
      <c r="E446" s="45" t="s">
        <v>609</v>
      </c>
      <c r="F446" s="46" t="s">
        <v>2358</v>
      </c>
    </row>
    <row r="447" spans="1:6" ht="17">
      <c r="A447" s="15">
        <f t="shared" ca="1" si="16"/>
        <v>1188</v>
      </c>
      <c r="B447" s="16">
        <f t="shared" ca="1" si="17"/>
        <v>0.37224022148450764</v>
      </c>
      <c r="C447" s="17">
        <f>IF(AND(問題解答データベース!D447&gt;=小テスト!$C$6,D447&lt;=小テスト!$E$6),1,0)</f>
        <v>1</v>
      </c>
      <c r="D447" s="44">
        <f t="shared" si="18"/>
        <v>446</v>
      </c>
      <c r="E447" s="45" t="s">
        <v>610</v>
      </c>
      <c r="F447" s="46" t="s">
        <v>2359</v>
      </c>
    </row>
    <row r="448" spans="1:6" ht="17">
      <c r="A448" s="15">
        <f t="shared" ca="1" si="16"/>
        <v>987</v>
      </c>
      <c r="B448" s="16">
        <f t="shared" ca="1" si="17"/>
        <v>0.48368635878768418</v>
      </c>
      <c r="C448" s="17">
        <f>IF(AND(問題解答データベース!D448&gt;=小テスト!$C$6,D448&lt;=小テスト!$E$6),1,0)</f>
        <v>1</v>
      </c>
      <c r="D448" s="44">
        <f t="shared" si="18"/>
        <v>447</v>
      </c>
      <c r="E448" s="45" t="s">
        <v>611</v>
      </c>
      <c r="F448" s="46" t="s">
        <v>2360</v>
      </c>
    </row>
    <row r="449" spans="1:6" ht="17">
      <c r="A449" s="15">
        <f t="shared" ca="1" si="16"/>
        <v>880</v>
      </c>
      <c r="B449" s="16">
        <f t="shared" ca="1" si="17"/>
        <v>0.53311675124029534</v>
      </c>
      <c r="C449" s="17">
        <f>IF(AND(問題解答データベース!D449&gt;=小テスト!$C$6,D449&lt;=小テスト!$E$6),1,0)</f>
        <v>1</v>
      </c>
      <c r="D449" s="44">
        <f t="shared" si="18"/>
        <v>448</v>
      </c>
      <c r="E449" s="45" t="s">
        <v>612</v>
      </c>
      <c r="F449" s="46" t="s">
        <v>2361</v>
      </c>
    </row>
    <row r="450" spans="1:6" ht="17">
      <c r="A450" s="15">
        <f t="shared" ca="1" si="16"/>
        <v>1704</v>
      </c>
      <c r="B450" s="16">
        <f t="shared" ca="1" si="17"/>
        <v>9.8518676585022336E-2</v>
      </c>
      <c r="C450" s="17">
        <f>IF(AND(問題解答データベース!D450&gt;=小テスト!$C$6,D450&lt;=小テスト!$E$6),1,0)</f>
        <v>1</v>
      </c>
      <c r="D450" s="44">
        <f t="shared" si="18"/>
        <v>449</v>
      </c>
      <c r="E450" s="45" t="s">
        <v>613</v>
      </c>
      <c r="F450" s="46" t="s">
        <v>2362</v>
      </c>
    </row>
    <row r="451" spans="1:6" ht="17">
      <c r="A451" s="15">
        <f t="shared" ref="A451:A514" ca="1" si="19">RANK(B451,$B$2:$B$1901,0)</f>
        <v>127</v>
      </c>
      <c r="B451" s="16">
        <f t="shared" ca="1" si="17"/>
        <v>0.94073183261841165</v>
      </c>
      <c r="C451" s="17">
        <f>IF(AND(問題解答データベース!D451&gt;=小テスト!$C$6,D451&lt;=小テスト!$E$6),1,0)</f>
        <v>1</v>
      </c>
      <c r="D451" s="44">
        <f t="shared" si="18"/>
        <v>450</v>
      </c>
      <c r="E451" s="45" t="s">
        <v>614</v>
      </c>
      <c r="F451" s="46" t="s">
        <v>2363</v>
      </c>
    </row>
    <row r="452" spans="1:6" ht="17">
      <c r="A452" s="15">
        <f t="shared" ca="1" si="19"/>
        <v>965</v>
      </c>
      <c r="B452" s="16">
        <f t="shared" ca="1" si="17"/>
        <v>0.49182600250762631</v>
      </c>
      <c r="C452" s="17">
        <f>IF(AND(問題解答データベース!D452&gt;=小テスト!$C$6,D452&lt;=小テスト!$E$6),1,0)</f>
        <v>1</v>
      </c>
      <c r="D452" s="44">
        <f t="shared" si="18"/>
        <v>451</v>
      </c>
      <c r="E452" s="45" t="s">
        <v>615</v>
      </c>
      <c r="F452" s="46" t="s">
        <v>2364</v>
      </c>
    </row>
    <row r="453" spans="1:6" ht="17">
      <c r="A453" s="15">
        <f t="shared" ca="1" si="19"/>
        <v>1608</v>
      </c>
      <c r="B453" s="16">
        <f t="shared" ca="1" si="17"/>
        <v>0.15277731787174298</v>
      </c>
      <c r="C453" s="17">
        <f>IF(AND(問題解答データベース!D453&gt;=小テスト!$C$6,D453&lt;=小テスト!$E$6),1,0)</f>
        <v>1</v>
      </c>
      <c r="D453" s="44">
        <f t="shared" si="18"/>
        <v>452</v>
      </c>
      <c r="E453" s="45" t="s">
        <v>616</v>
      </c>
      <c r="F453" s="46" t="s">
        <v>2365</v>
      </c>
    </row>
    <row r="454" spans="1:6" ht="17">
      <c r="A454" s="15">
        <f t="shared" ca="1" si="19"/>
        <v>555</v>
      </c>
      <c r="B454" s="16">
        <f t="shared" ca="1" si="17"/>
        <v>0.71093212890960888</v>
      </c>
      <c r="C454" s="17">
        <f>IF(AND(問題解答データベース!D454&gt;=小テスト!$C$6,D454&lt;=小テスト!$E$6),1,0)</f>
        <v>1</v>
      </c>
      <c r="D454" s="44">
        <f t="shared" si="18"/>
        <v>453</v>
      </c>
      <c r="E454" s="45" t="s">
        <v>617</v>
      </c>
      <c r="F454" s="46" t="s">
        <v>2366</v>
      </c>
    </row>
    <row r="455" spans="1:6" ht="17">
      <c r="A455" s="15">
        <f t="shared" ca="1" si="19"/>
        <v>1019</v>
      </c>
      <c r="B455" s="16">
        <f t="shared" ca="1" si="17"/>
        <v>0.47123073098844892</v>
      </c>
      <c r="C455" s="17">
        <f>IF(AND(問題解答データベース!D455&gt;=小テスト!$C$6,D455&lt;=小テスト!$E$6),1,0)</f>
        <v>1</v>
      </c>
      <c r="D455" s="44">
        <f t="shared" si="18"/>
        <v>454</v>
      </c>
      <c r="E455" s="45" t="s">
        <v>618</v>
      </c>
      <c r="F455" s="46" t="s">
        <v>2367</v>
      </c>
    </row>
    <row r="456" spans="1:6" ht="17">
      <c r="A456" s="15">
        <f t="shared" ca="1" si="19"/>
        <v>84</v>
      </c>
      <c r="B456" s="16">
        <f t="shared" ca="1" si="17"/>
        <v>0.95959296021466978</v>
      </c>
      <c r="C456" s="17">
        <f>IF(AND(問題解答データベース!D456&gt;=小テスト!$C$6,D456&lt;=小テスト!$E$6),1,0)</f>
        <v>1</v>
      </c>
      <c r="D456" s="44">
        <f t="shared" si="18"/>
        <v>455</v>
      </c>
      <c r="E456" s="45" t="s">
        <v>619</v>
      </c>
      <c r="F456" s="46" t="s">
        <v>2368</v>
      </c>
    </row>
    <row r="457" spans="1:6" ht="17">
      <c r="A457" s="15">
        <f t="shared" ca="1" si="19"/>
        <v>673</v>
      </c>
      <c r="B457" s="16">
        <f t="shared" ca="1" si="17"/>
        <v>0.64754958857111333</v>
      </c>
      <c r="C457" s="17">
        <f>IF(AND(問題解答データベース!D457&gt;=小テスト!$C$6,D457&lt;=小テスト!$E$6),1,0)</f>
        <v>1</v>
      </c>
      <c r="D457" s="44">
        <f t="shared" si="18"/>
        <v>456</v>
      </c>
      <c r="E457" s="45" t="s">
        <v>620</v>
      </c>
      <c r="F457" s="46" t="s">
        <v>2369</v>
      </c>
    </row>
    <row r="458" spans="1:6" ht="17">
      <c r="A458" s="15">
        <f t="shared" ca="1" si="19"/>
        <v>1669</v>
      </c>
      <c r="B458" s="16">
        <f t="shared" ref="B458:B521" ca="1" si="20">IF(C458=1,RAND(),0)</f>
        <v>0.11622264946273508</v>
      </c>
      <c r="C458" s="17">
        <f>IF(AND(問題解答データベース!D458&gt;=小テスト!$C$6,D458&lt;=小テスト!$E$6),1,0)</f>
        <v>1</v>
      </c>
      <c r="D458" s="44">
        <f t="shared" si="18"/>
        <v>457</v>
      </c>
      <c r="E458" s="45" t="s">
        <v>621</v>
      </c>
      <c r="F458" s="46" t="s">
        <v>2370</v>
      </c>
    </row>
    <row r="459" spans="1:6" ht="17">
      <c r="A459" s="15">
        <f t="shared" ca="1" si="19"/>
        <v>1175</v>
      </c>
      <c r="B459" s="16">
        <f t="shared" ca="1" si="20"/>
        <v>0.38175695380473273</v>
      </c>
      <c r="C459" s="17">
        <f>IF(AND(問題解答データベース!D459&gt;=小テスト!$C$6,D459&lt;=小テスト!$E$6),1,0)</f>
        <v>1</v>
      </c>
      <c r="D459" s="44">
        <f t="shared" si="18"/>
        <v>458</v>
      </c>
      <c r="E459" s="45" t="s">
        <v>622</v>
      </c>
      <c r="F459" s="46" t="s">
        <v>2371</v>
      </c>
    </row>
    <row r="460" spans="1:6" ht="17">
      <c r="A460" s="15">
        <f t="shared" ca="1" si="19"/>
        <v>1053</v>
      </c>
      <c r="B460" s="16">
        <f t="shared" ca="1" si="20"/>
        <v>0.45247534417183466</v>
      </c>
      <c r="C460" s="17">
        <f>IF(AND(問題解答データベース!D460&gt;=小テスト!$C$6,D460&lt;=小テスト!$E$6),1,0)</f>
        <v>1</v>
      </c>
      <c r="D460" s="44">
        <f t="shared" si="18"/>
        <v>459</v>
      </c>
      <c r="E460" s="45" t="s">
        <v>623</v>
      </c>
      <c r="F460" s="46" t="s">
        <v>2372</v>
      </c>
    </row>
    <row r="461" spans="1:6" ht="17">
      <c r="A461" s="15">
        <f t="shared" ca="1" si="19"/>
        <v>953</v>
      </c>
      <c r="B461" s="16">
        <f t="shared" ca="1" si="20"/>
        <v>0.49803483267248994</v>
      </c>
      <c r="C461" s="17">
        <f>IF(AND(問題解答データベース!D461&gt;=小テスト!$C$6,D461&lt;=小テスト!$E$6),1,0)</f>
        <v>1</v>
      </c>
      <c r="D461" s="44">
        <f t="shared" ref="D461:D524" si="21">D460+1</f>
        <v>460</v>
      </c>
      <c r="E461" s="45" t="s">
        <v>624</v>
      </c>
      <c r="F461" s="46" t="s">
        <v>2373</v>
      </c>
    </row>
    <row r="462" spans="1:6" ht="17">
      <c r="A462" s="15">
        <f t="shared" ca="1" si="19"/>
        <v>635</v>
      </c>
      <c r="B462" s="16">
        <f t="shared" ca="1" si="20"/>
        <v>0.66308460291834326</v>
      </c>
      <c r="C462" s="17">
        <f>IF(AND(問題解答データベース!D462&gt;=小テスト!$C$6,D462&lt;=小テスト!$E$6),1,0)</f>
        <v>1</v>
      </c>
      <c r="D462" s="44">
        <f t="shared" si="21"/>
        <v>461</v>
      </c>
      <c r="E462" s="45" t="s">
        <v>625</v>
      </c>
      <c r="F462" s="46" t="s">
        <v>2374</v>
      </c>
    </row>
    <row r="463" spans="1:6" ht="17">
      <c r="A463" s="15">
        <f t="shared" ca="1" si="19"/>
        <v>977</v>
      </c>
      <c r="B463" s="16">
        <f t="shared" ca="1" si="20"/>
        <v>0.48808561241000714</v>
      </c>
      <c r="C463" s="17">
        <f>IF(AND(問題解答データベース!D463&gt;=小テスト!$C$6,D463&lt;=小テスト!$E$6),1,0)</f>
        <v>1</v>
      </c>
      <c r="D463" s="44">
        <f t="shared" si="21"/>
        <v>462</v>
      </c>
      <c r="E463" s="45" t="s">
        <v>626</v>
      </c>
      <c r="F463" s="46" t="s">
        <v>2375</v>
      </c>
    </row>
    <row r="464" spans="1:6" ht="17">
      <c r="A464" s="15">
        <f t="shared" ca="1" si="19"/>
        <v>1419</v>
      </c>
      <c r="B464" s="16">
        <f t="shared" ca="1" si="20"/>
        <v>0.25338467631797557</v>
      </c>
      <c r="C464" s="17">
        <f>IF(AND(問題解答データベース!D464&gt;=小テスト!$C$6,D464&lt;=小テスト!$E$6),1,0)</f>
        <v>1</v>
      </c>
      <c r="D464" s="44">
        <f t="shared" si="21"/>
        <v>463</v>
      </c>
      <c r="E464" s="45" t="s">
        <v>627</v>
      </c>
      <c r="F464" s="46" t="s">
        <v>2376</v>
      </c>
    </row>
    <row r="465" spans="1:6" ht="17">
      <c r="A465" s="15">
        <f t="shared" ca="1" si="19"/>
        <v>1480</v>
      </c>
      <c r="B465" s="16">
        <f t="shared" ca="1" si="20"/>
        <v>0.21563105304682229</v>
      </c>
      <c r="C465" s="17">
        <f>IF(AND(問題解答データベース!D465&gt;=小テスト!$C$6,D465&lt;=小テスト!$E$6),1,0)</f>
        <v>1</v>
      </c>
      <c r="D465" s="44">
        <f t="shared" si="21"/>
        <v>464</v>
      </c>
      <c r="E465" s="45" t="s">
        <v>628</v>
      </c>
      <c r="F465" s="46" t="s">
        <v>2377</v>
      </c>
    </row>
    <row r="466" spans="1:6" ht="17">
      <c r="A466" s="15">
        <f t="shared" ca="1" si="19"/>
        <v>1339</v>
      </c>
      <c r="B466" s="16">
        <f t="shared" ca="1" si="20"/>
        <v>0.29716608058564242</v>
      </c>
      <c r="C466" s="17">
        <f>IF(AND(問題解答データベース!D466&gt;=小テスト!$C$6,D466&lt;=小テスト!$E$6),1,0)</f>
        <v>1</v>
      </c>
      <c r="D466" s="44">
        <f t="shared" si="21"/>
        <v>465</v>
      </c>
      <c r="E466" s="45" t="s">
        <v>629</v>
      </c>
      <c r="F466" s="46" t="s">
        <v>2378</v>
      </c>
    </row>
    <row r="467" spans="1:6" ht="17">
      <c r="A467" s="15">
        <f t="shared" ca="1" si="19"/>
        <v>773</v>
      </c>
      <c r="B467" s="16">
        <f t="shared" ca="1" si="20"/>
        <v>0.5922537615187865</v>
      </c>
      <c r="C467" s="17">
        <f>IF(AND(問題解答データベース!D467&gt;=小テスト!$C$6,D467&lt;=小テスト!$E$6),1,0)</f>
        <v>1</v>
      </c>
      <c r="D467" s="44">
        <f t="shared" si="21"/>
        <v>466</v>
      </c>
      <c r="E467" s="45" t="s">
        <v>630</v>
      </c>
      <c r="F467" s="46" t="s">
        <v>2379</v>
      </c>
    </row>
    <row r="468" spans="1:6" ht="17">
      <c r="A468" s="15">
        <f t="shared" ca="1" si="19"/>
        <v>1741</v>
      </c>
      <c r="B468" s="16">
        <f t="shared" ca="1" si="20"/>
        <v>7.8842662450370193E-2</v>
      </c>
      <c r="C468" s="17">
        <f>IF(AND(問題解答データベース!D468&gt;=小テスト!$C$6,D468&lt;=小テスト!$E$6),1,0)</f>
        <v>1</v>
      </c>
      <c r="D468" s="44">
        <f t="shared" si="21"/>
        <v>467</v>
      </c>
      <c r="E468" s="45" t="s">
        <v>631</v>
      </c>
      <c r="F468" s="46" t="s">
        <v>2380</v>
      </c>
    </row>
    <row r="469" spans="1:6" ht="17">
      <c r="A469" s="15">
        <f t="shared" ca="1" si="19"/>
        <v>867</v>
      </c>
      <c r="B469" s="16">
        <f t="shared" ca="1" si="20"/>
        <v>0.53862636719688539</v>
      </c>
      <c r="C469" s="17">
        <f>IF(AND(問題解答データベース!D469&gt;=小テスト!$C$6,D469&lt;=小テスト!$E$6),1,0)</f>
        <v>1</v>
      </c>
      <c r="D469" s="44">
        <f t="shared" si="21"/>
        <v>468</v>
      </c>
      <c r="E469" s="45" t="s">
        <v>632</v>
      </c>
      <c r="F469" s="46" t="s">
        <v>2381</v>
      </c>
    </row>
    <row r="470" spans="1:6" ht="17">
      <c r="A470" s="15">
        <f t="shared" ca="1" si="19"/>
        <v>1209</v>
      </c>
      <c r="B470" s="16">
        <f t="shared" ca="1" si="20"/>
        <v>0.36493766465744581</v>
      </c>
      <c r="C470" s="17">
        <f>IF(AND(問題解答データベース!D470&gt;=小テスト!$C$6,D470&lt;=小テスト!$E$6),1,0)</f>
        <v>1</v>
      </c>
      <c r="D470" s="44">
        <f t="shared" si="21"/>
        <v>469</v>
      </c>
      <c r="E470" s="45" t="s">
        <v>633</v>
      </c>
      <c r="F470" s="46" t="s">
        <v>2382</v>
      </c>
    </row>
    <row r="471" spans="1:6" ht="17">
      <c r="A471" s="15">
        <f t="shared" ca="1" si="19"/>
        <v>820</v>
      </c>
      <c r="B471" s="16">
        <f t="shared" ca="1" si="20"/>
        <v>0.56364538237224859</v>
      </c>
      <c r="C471" s="17">
        <f>IF(AND(問題解答データベース!D471&gt;=小テスト!$C$6,D471&lt;=小テスト!$E$6),1,0)</f>
        <v>1</v>
      </c>
      <c r="D471" s="44">
        <f t="shared" si="21"/>
        <v>470</v>
      </c>
      <c r="E471" s="45" t="s">
        <v>634</v>
      </c>
      <c r="F471" s="46" t="s">
        <v>2383</v>
      </c>
    </row>
    <row r="472" spans="1:6" ht="17">
      <c r="A472" s="15">
        <f t="shared" ca="1" si="19"/>
        <v>38</v>
      </c>
      <c r="B472" s="16">
        <f t="shared" ca="1" si="20"/>
        <v>0.97948873192976138</v>
      </c>
      <c r="C472" s="17">
        <f>IF(AND(問題解答データベース!D472&gt;=小テスト!$C$6,D472&lt;=小テスト!$E$6),1,0)</f>
        <v>1</v>
      </c>
      <c r="D472" s="44">
        <f t="shared" si="21"/>
        <v>471</v>
      </c>
      <c r="E472" s="45" t="s">
        <v>635</v>
      </c>
      <c r="F472" s="46" t="s">
        <v>2384</v>
      </c>
    </row>
    <row r="473" spans="1:6" ht="17">
      <c r="A473" s="15">
        <f t="shared" ca="1" si="19"/>
        <v>1413</v>
      </c>
      <c r="B473" s="16">
        <f t="shared" ca="1" si="20"/>
        <v>0.25896083706069783</v>
      </c>
      <c r="C473" s="17">
        <f>IF(AND(問題解答データベース!D473&gt;=小テスト!$C$6,D473&lt;=小テスト!$E$6),1,0)</f>
        <v>1</v>
      </c>
      <c r="D473" s="44">
        <f t="shared" si="21"/>
        <v>472</v>
      </c>
      <c r="E473" s="45" t="s">
        <v>636</v>
      </c>
      <c r="F473" s="46" t="s">
        <v>2385</v>
      </c>
    </row>
    <row r="474" spans="1:6" ht="17">
      <c r="A474" s="15">
        <f t="shared" ca="1" si="19"/>
        <v>1404</v>
      </c>
      <c r="B474" s="16">
        <f t="shared" ca="1" si="20"/>
        <v>0.26364364835681875</v>
      </c>
      <c r="C474" s="17">
        <f>IF(AND(問題解答データベース!D474&gt;=小テスト!$C$6,D474&lt;=小テスト!$E$6),1,0)</f>
        <v>1</v>
      </c>
      <c r="D474" s="44">
        <f t="shared" si="21"/>
        <v>473</v>
      </c>
      <c r="E474" s="45" t="s">
        <v>637</v>
      </c>
      <c r="F474" s="46" t="s">
        <v>2386</v>
      </c>
    </row>
    <row r="475" spans="1:6" ht="17">
      <c r="A475" s="15">
        <f t="shared" ca="1" si="19"/>
        <v>140</v>
      </c>
      <c r="B475" s="16">
        <f t="shared" ca="1" si="20"/>
        <v>0.93289864005958401</v>
      </c>
      <c r="C475" s="17">
        <f>IF(AND(問題解答データベース!D475&gt;=小テスト!$C$6,D475&lt;=小テスト!$E$6),1,0)</f>
        <v>1</v>
      </c>
      <c r="D475" s="44">
        <f t="shared" si="21"/>
        <v>474</v>
      </c>
      <c r="E475" s="45" t="s">
        <v>638</v>
      </c>
      <c r="F475" s="46" t="s">
        <v>2387</v>
      </c>
    </row>
    <row r="476" spans="1:6" ht="17">
      <c r="A476" s="15">
        <f t="shared" ca="1" si="19"/>
        <v>1439</v>
      </c>
      <c r="B476" s="16">
        <f t="shared" ca="1" si="20"/>
        <v>0.24304134199308702</v>
      </c>
      <c r="C476" s="17">
        <f>IF(AND(問題解答データベース!D476&gt;=小テスト!$C$6,D476&lt;=小テスト!$E$6),1,0)</f>
        <v>1</v>
      </c>
      <c r="D476" s="44">
        <f t="shared" si="21"/>
        <v>475</v>
      </c>
      <c r="E476" s="45" t="s">
        <v>639</v>
      </c>
      <c r="F476" s="46" t="s">
        <v>2388</v>
      </c>
    </row>
    <row r="477" spans="1:6" ht="17">
      <c r="A477" s="15">
        <f t="shared" ca="1" si="19"/>
        <v>1759</v>
      </c>
      <c r="B477" s="16">
        <f t="shared" ca="1" si="20"/>
        <v>6.8696047504984814E-2</v>
      </c>
      <c r="C477" s="17">
        <f>IF(AND(問題解答データベース!D477&gt;=小テスト!$C$6,D477&lt;=小テスト!$E$6),1,0)</f>
        <v>1</v>
      </c>
      <c r="D477" s="44">
        <f t="shared" si="21"/>
        <v>476</v>
      </c>
      <c r="E477" s="45" t="s">
        <v>640</v>
      </c>
      <c r="F477" s="46" t="s">
        <v>2389</v>
      </c>
    </row>
    <row r="478" spans="1:6" ht="17">
      <c r="A478" s="15">
        <f t="shared" ca="1" si="19"/>
        <v>73</v>
      </c>
      <c r="B478" s="16">
        <f t="shared" ca="1" si="20"/>
        <v>0.96457034926993634</v>
      </c>
      <c r="C478" s="17">
        <f>IF(AND(問題解答データベース!D478&gt;=小テスト!$C$6,D478&lt;=小テスト!$E$6),1,0)</f>
        <v>1</v>
      </c>
      <c r="D478" s="44">
        <f t="shared" si="21"/>
        <v>477</v>
      </c>
      <c r="E478" s="45" t="s">
        <v>641</v>
      </c>
      <c r="F478" s="46" t="s">
        <v>2390</v>
      </c>
    </row>
    <row r="479" spans="1:6" ht="17">
      <c r="A479" s="15">
        <f t="shared" ca="1" si="19"/>
        <v>278</v>
      </c>
      <c r="B479" s="16">
        <f t="shared" ca="1" si="20"/>
        <v>0.85532910331942125</v>
      </c>
      <c r="C479" s="17">
        <f>IF(AND(問題解答データベース!D479&gt;=小テスト!$C$6,D479&lt;=小テスト!$E$6),1,0)</f>
        <v>1</v>
      </c>
      <c r="D479" s="44">
        <f t="shared" si="21"/>
        <v>478</v>
      </c>
      <c r="E479" s="45" t="s">
        <v>642</v>
      </c>
      <c r="F479" s="46" t="s">
        <v>2391</v>
      </c>
    </row>
    <row r="480" spans="1:6" ht="17">
      <c r="A480" s="15">
        <f t="shared" ca="1" si="19"/>
        <v>800</v>
      </c>
      <c r="B480" s="16">
        <f t="shared" ca="1" si="20"/>
        <v>0.57640289551868873</v>
      </c>
      <c r="C480" s="17">
        <f>IF(AND(問題解答データベース!D480&gt;=小テスト!$C$6,D480&lt;=小テスト!$E$6),1,0)</f>
        <v>1</v>
      </c>
      <c r="D480" s="44">
        <f t="shared" si="21"/>
        <v>479</v>
      </c>
      <c r="E480" s="45" t="s">
        <v>643</v>
      </c>
      <c r="F480" s="46" t="s">
        <v>2392</v>
      </c>
    </row>
    <row r="481" spans="1:6" ht="17">
      <c r="A481" s="15">
        <f t="shared" ca="1" si="19"/>
        <v>728</v>
      </c>
      <c r="B481" s="16">
        <f t="shared" ca="1" si="20"/>
        <v>0.61300670746804076</v>
      </c>
      <c r="C481" s="17">
        <f>IF(AND(問題解答データベース!D481&gt;=小テスト!$C$6,D481&lt;=小テスト!$E$6),1,0)</f>
        <v>1</v>
      </c>
      <c r="D481" s="44">
        <f t="shared" si="21"/>
        <v>480</v>
      </c>
      <c r="E481" s="45" t="s">
        <v>644</v>
      </c>
      <c r="F481" s="46" t="s">
        <v>2393</v>
      </c>
    </row>
    <row r="482" spans="1:6" ht="17">
      <c r="A482" s="15">
        <f t="shared" ca="1" si="19"/>
        <v>1207</v>
      </c>
      <c r="B482" s="16">
        <f t="shared" ca="1" si="20"/>
        <v>0.36513281767617234</v>
      </c>
      <c r="C482" s="17">
        <f>IF(AND(問題解答データベース!D482&gt;=小テスト!$C$6,D482&lt;=小テスト!$E$6),1,0)</f>
        <v>1</v>
      </c>
      <c r="D482" s="44">
        <f t="shared" si="21"/>
        <v>481</v>
      </c>
      <c r="E482" s="45" t="s">
        <v>645</v>
      </c>
      <c r="F482" s="46" t="s">
        <v>2394</v>
      </c>
    </row>
    <row r="483" spans="1:6" ht="17">
      <c r="A483" s="15">
        <f t="shared" ca="1" si="19"/>
        <v>1080</v>
      </c>
      <c r="B483" s="16">
        <f t="shared" ca="1" si="20"/>
        <v>0.43503291352735551</v>
      </c>
      <c r="C483" s="17">
        <f>IF(AND(問題解答データベース!D483&gt;=小テスト!$C$6,D483&lt;=小テスト!$E$6),1,0)</f>
        <v>1</v>
      </c>
      <c r="D483" s="44">
        <f t="shared" si="21"/>
        <v>482</v>
      </c>
      <c r="E483" s="45" t="s">
        <v>646</v>
      </c>
      <c r="F483" s="46" t="s">
        <v>2395</v>
      </c>
    </row>
    <row r="484" spans="1:6" ht="17">
      <c r="A484" s="15">
        <f t="shared" ca="1" si="19"/>
        <v>1673</v>
      </c>
      <c r="B484" s="16">
        <f t="shared" ca="1" si="20"/>
        <v>0.11448774755334779</v>
      </c>
      <c r="C484" s="17">
        <f>IF(AND(問題解答データベース!D484&gt;=小テスト!$C$6,D484&lt;=小テスト!$E$6),1,0)</f>
        <v>1</v>
      </c>
      <c r="D484" s="44">
        <f t="shared" si="21"/>
        <v>483</v>
      </c>
      <c r="E484" s="45" t="s">
        <v>647</v>
      </c>
      <c r="F484" s="46" t="s">
        <v>2396</v>
      </c>
    </row>
    <row r="485" spans="1:6" ht="17">
      <c r="A485" s="15">
        <f t="shared" ca="1" si="19"/>
        <v>1614</v>
      </c>
      <c r="B485" s="16">
        <f t="shared" ca="1" si="20"/>
        <v>0.15072017014734451</v>
      </c>
      <c r="C485" s="17">
        <f>IF(AND(問題解答データベース!D485&gt;=小テスト!$C$6,D485&lt;=小テスト!$E$6),1,0)</f>
        <v>1</v>
      </c>
      <c r="D485" s="44">
        <f t="shared" si="21"/>
        <v>484</v>
      </c>
      <c r="E485" s="45" t="s">
        <v>648</v>
      </c>
      <c r="F485" s="46" t="s">
        <v>2397</v>
      </c>
    </row>
    <row r="486" spans="1:6" ht="17">
      <c r="A486" s="15">
        <f t="shared" ca="1" si="19"/>
        <v>1619</v>
      </c>
      <c r="B486" s="16">
        <f t="shared" ca="1" si="20"/>
        <v>0.14644670613072042</v>
      </c>
      <c r="C486" s="17">
        <f>IF(AND(問題解答データベース!D486&gt;=小テスト!$C$6,D486&lt;=小テスト!$E$6),1,0)</f>
        <v>1</v>
      </c>
      <c r="D486" s="44">
        <f t="shared" si="21"/>
        <v>485</v>
      </c>
      <c r="E486" s="45" t="s">
        <v>649</v>
      </c>
      <c r="F486" s="46" t="s">
        <v>2398</v>
      </c>
    </row>
    <row r="487" spans="1:6" ht="17">
      <c r="A487" s="15">
        <f t="shared" ca="1" si="19"/>
        <v>1408</v>
      </c>
      <c r="B487" s="16">
        <f t="shared" ca="1" si="20"/>
        <v>0.26241872652917608</v>
      </c>
      <c r="C487" s="17">
        <f>IF(AND(問題解答データベース!D487&gt;=小テスト!$C$6,D487&lt;=小テスト!$E$6),1,0)</f>
        <v>1</v>
      </c>
      <c r="D487" s="44">
        <f t="shared" si="21"/>
        <v>486</v>
      </c>
      <c r="E487" s="45" t="s">
        <v>650</v>
      </c>
      <c r="F487" s="46" t="s">
        <v>2399</v>
      </c>
    </row>
    <row r="488" spans="1:6" ht="17">
      <c r="A488" s="15">
        <f t="shared" ca="1" si="19"/>
        <v>946</v>
      </c>
      <c r="B488" s="16">
        <f t="shared" ca="1" si="20"/>
        <v>0.5021138085552197</v>
      </c>
      <c r="C488" s="17">
        <f>IF(AND(問題解答データベース!D488&gt;=小テスト!$C$6,D488&lt;=小テスト!$E$6),1,0)</f>
        <v>1</v>
      </c>
      <c r="D488" s="44">
        <f t="shared" si="21"/>
        <v>487</v>
      </c>
      <c r="E488" s="45" t="s">
        <v>651</v>
      </c>
      <c r="F488" s="46" t="s">
        <v>2400</v>
      </c>
    </row>
    <row r="489" spans="1:6" ht="17">
      <c r="A489" s="15">
        <f t="shared" ca="1" si="19"/>
        <v>1819</v>
      </c>
      <c r="B489" s="16">
        <f t="shared" ca="1" si="20"/>
        <v>4.0494484759364791E-2</v>
      </c>
      <c r="C489" s="17">
        <f>IF(AND(問題解答データベース!D489&gt;=小テスト!$C$6,D489&lt;=小テスト!$E$6),1,0)</f>
        <v>1</v>
      </c>
      <c r="D489" s="44">
        <f t="shared" si="21"/>
        <v>488</v>
      </c>
      <c r="E489" s="45" t="s">
        <v>652</v>
      </c>
      <c r="F489" s="46" t="s">
        <v>2401</v>
      </c>
    </row>
    <row r="490" spans="1:6" ht="17">
      <c r="A490" s="15">
        <f t="shared" ca="1" si="19"/>
        <v>1750</v>
      </c>
      <c r="B490" s="16">
        <f t="shared" ca="1" si="20"/>
        <v>7.4734901242839658E-2</v>
      </c>
      <c r="C490" s="17">
        <f>IF(AND(問題解答データベース!D490&gt;=小テスト!$C$6,D490&lt;=小テスト!$E$6),1,0)</f>
        <v>1</v>
      </c>
      <c r="D490" s="44">
        <f t="shared" si="21"/>
        <v>489</v>
      </c>
      <c r="E490" s="45" t="s">
        <v>653</v>
      </c>
      <c r="F490" s="46" t="s">
        <v>2402</v>
      </c>
    </row>
    <row r="491" spans="1:6" ht="17">
      <c r="A491" s="15">
        <f t="shared" ca="1" si="19"/>
        <v>1700</v>
      </c>
      <c r="B491" s="16">
        <f t="shared" ca="1" si="20"/>
        <v>9.9695777909939665E-2</v>
      </c>
      <c r="C491" s="17">
        <f>IF(AND(問題解答データベース!D491&gt;=小テスト!$C$6,D491&lt;=小テスト!$E$6),1,0)</f>
        <v>1</v>
      </c>
      <c r="D491" s="44">
        <f t="shared" si="21"/>
        <v>490</v>
      </c>
      <c r="E491" s="45" t="s">
        <v>654</v>
      </c>
      <c r="F491" s="46" t="s">
        <v>2403</v>
      </c>
    </row>
    <row r="492" spans="1:6" ht="17">
      <c r="A492" s="15">
        <f t="shared" ca="1" si="19"/>
        <v>502</v>
      </c>
      <c r="B492" s="16">
        <f t="shared" ca="1" si="20"/>
        <v>0.73981046071606404</v>
      </c>
      <c r="C492" s="17">
        <f>IF(AND(問題解答データベース!D492&gt;=小テスト!$C$6,D492&lt;=小テスト!$E$6),1,0)</f>
        <v>1</v>
      </c>
      <c r="D492" s="44">
        <f t="shared" si="21"/>
        <v>491</v>
      </c>
      <c r="E492" s="45" t="s">
        <v>655</v>
      </c>
      <c r="F492" s="46" t="s">
        <v>2404</v>
      </c>
    </row>
    <row r="493" spans="1:6" ht="17">
      <c r="A493" s="15">
        <f t="shared" ca="1" si="19"/>
        <v>643</v>
      </c>
      <c r="B493" s="16">
        <f t="shared" ca="1" si="20"/>
        <v>0.66089472586669662</v>
      </c>
      <c r="C493" s="17">
        <f>IF(AND(問題解答データベース!D493&gt;=小テスト!$C$6,D493&lt;=小テスト!$E$6),1,0)</f>
        <v>1</v>
      </c>
      <c r="D493" s="44">
        <f t="shared" si="21"/>
        <v>492</v>
      </c>
      <c r="E493" s="45" t="s">
        <v>656</v>
      </c>
      <c r="F493" s="46" t="s">
        <v>2405</v>
      </c>
    </row>
    <row r="494" spans="1:6" ht="17">
      <c r="A494" s="15">
        <f t="shared" ca="1" si="19"/>
        <v>104</v>
      </c>
      <c r="B494" s="16">
        <f t="shared" ca="1" si="20"/>
        <v>0.95156035573725128</v>
      </c>
      <c r="C494" s="17">
        <f>IF(AND(問題解答データベース!D494&gt;=小テスト!$C$6,D494&lt;=小テスト!$E$6),1,0)</f>
        <v>1</v>
      </c>
      <c r="D494" s="44">
        <f t="shared" si="21"/>
        <v>493</v>
      </c>
      <c r="E494" s="45" t="s">
        <v>657</v>
      </c>
      <c r="F494" s="46" t="s">
        <v>2406</v>
      </c>
    </row>
    <row r="495" spans="1:6" ht="17">
      <c r="A495" s="15">
        <f t="shared" ca="1" si="19"/>
        <v>1731</v>
      </c>
      <c r="B495" s="16">
        <f t="shared" ca="1" si="20"/>
        <v>8.4831385845785978E-2</v>
      </c>
      <c r="C495" s="17">
        <f>IF(AND(問題解答データベース!D495&gt;=小テスト!$C$6,D495&lt;=小テスト!$E$6),1,0)</f>
        <v>1</v>
      </c>
      <c r="D495" s="44">
        <f t="shared" si="21"/>
        <v>494</v>
      </c>
      <c r="E495" s="45" t="s">
        <v>658</v>
      </c>
      <c r="F495" s="46" t="s">
        <v>2407</v>
      </c>
    </row>
    <row r="496" spans="1:6" ht="17">
      <c r="A496" s="15">
        <f t="shared" ca="1" si="19"/>
        <v>1181</v>
      </c>
      <c r="B496" s="16">
        <f t="shared" ca="1" si="20"/>
        <v>0.37669264714836603</v>
      </c>
      <c r="C496" s="17">
        <f>IF(AND(問題解答データベース!D496&gt;=小テスト!$C$6,D496&lt;=小テスト!$E$6),1,0)</f>
        <v>1</v>
      </c>
      <c r="D496" s="44">
        <f t="shared" si="21"/>
        <v>495</v>
      </c>
      <c r="E496" s="45" t="s">
        <v>659</v>
      </c>
      <c r="F496" s="46" t="s">
        <v>2408</v>
      </c>
    </row>
    <row r="497" spans="1:6" ht="17">
      <c r="A497" s="15">
        <f t="shared" ca="1" si="19"/>
        <v>1898</v>
      </c>
      <c r="B497" s="16">
        <f t="shared" ca="1" si="20"/>
        <v>5.5908545306293522E-4</v>
      </c>
      <c r="C497" s="17">
        <f>IF(AND(問題解答データベース!D497&gt;=小テスト!$C$6,D497&lt;=小テスト!$E$6),1,0)</f>
        <v>1</v>
      </c>
      <c r="D497" s="44">
        <f t="shared" si="21"/>
        <v>496</v>
      </c>
      <c r="E497" s="45" t="s">
        <v>660</v>
      </c>
      <c r="F497" s="46" t="s">
        <v>2409</v>
      </c>
    </row>
    <row r="498" spans="1:6" ht="17">
      <c r="A498" s="15">
        <f t="shared" ca="1" si="19"/>
        <v>1561</v>
      </c>
      <c r="B498" s="16">
        <f t="shared" ca="1" si="20"/>
        <v>0.17313617649124946</v>
      </c>
      <c r="C498" s="17">
        <f>IF(AND(問題解答データベース!D498&gt;=小テスト!$C$6,D498&lt;=小テスト!$E$6),1,0)</f>
        <v>1</v>
      </c>
      <c r="D498" s="44">
        <f t="shared" si="21"/>
        <v>497</v>
      </c>
      <c r="E498" s="45" t="s">
        <v>661</v>
      </c>
      <c r="F498" s="46" t="s">
        <v>2410</v>
      </c>
    </row>
    <row r="499" spans="1:6" ht="17">
      <c r="A499" s="15">
        <f t="shared" ca="1" si="19"/>
        <v>1667</v>
      </c>
      <c r="B499" s="16">
        <f t="shared" ca="1" si="20"/>
        <v>0.11770498914834693</v>
      </c>
      <c r="C499" s="17">
        <f>IF(AND(問題解答データベース!D499&gt;=小テスト!$C$6,D499&lt;=小テスト!$E$6),1,0)</f>
        <v>1</v>
      </c>
      <c r="D499" s="44">
        <f t="shared" si="21"/>
        <v>498</v>
      </c>
      <c r="E499" s="45" t="s">
        <v>662</v>
      </c>
      <c r="F499" s="46" t="s">
        <v>2411</v>
      </c>
    </row>
    <row r="500" spans="1:6" ht="17">
      <c r="A500" s="15">
        <f t="shared" ca="1" si="19"/>
        <v>722</v>
      </c>
      <c r="B500" s="16">
        <f t="shared" ca="1" si="20"/>
        <v>0.61726497898278654</v>
      </c>
      <c r="C500" s="17">
        <f>IF(AND(問題解答データベース!D500&gt;=小テスト!$C$6,D500&lt;=小テスト!$E$6),1,0)</f>
        <v>1</v>
      </c>
      <c r="D500" s="44">
        <f t="shared" si="21"/>
        <v>499</v>
      </c>
      <c r="E500" s="45" t="s">
        <v>663</v>
      </c>
      <c r="F500" s="46" t="s">
        <v>2412</v>
      </c>
    </row>
    <row r="501" spans="1:6" ht="17">
      <c r="A501" s="15">
        <f t="shared" ca="1" si="19"/>
        <v>1853</v>
      </c>
      <c r="B501" s="16">
        <f t="shared" ca="1" si="20"/>
        <v>2.2354801904848398E-2</v>
      </c>
      <c r="C501" s="17">
        <f>IF(AND(問題解答データベース!D501&gt;=小テスト!$C$6,D501&lt;=小テスト!$E$6),1,0)</f>
        <v>1</v>
      </c>
      <c r="D501" s="44">
        <f t="shared" si="21"/>
        <v>500</v>
      </c>
      <c r="E501" s="45" t="s">
        <v>664</v>
      </c>
      <c r="F501" s="46" t="s">
        <v>2413</v>
      </c>
    </row>
    <row r="502" spans="1:6" ht="17">
      <c r="A502" s="15">
        <f t="shared" ca="1" si="19"/>
        <v>697</v>
      </c>
      <c r="B502" s="16">
        <f t="shared" ca="1" si="20"/>
        <v>0.62831037963543679</v>
      </c>
      <c r="C502" s="17">
        <f>IF(AND(問題解答データベース!D502&gt;=小テスト!$C$6,D502&lt;=小テスト!$E$6),1,0)</f>
        <v>1</v>
      </c>
      <c r="D502" s="44">
        <f t="shared" si="21"/>
        <v>501</v>
      </c>
      <c r="E502" s="45" t="s">
        <v>665</v>
      </c>
      <c r="F502" s="46" t="s">
        <v>2414</v>
      </c>
    </row>
    <row r="503" spans="1:6" ht="17">
      <c r="A503" s="15">
        <f t="shared" ca="1" si="19"/>
        <v>1603</v>
      </c>
      <c r="B503" s="16">
        <f t="shared" ca="1" si="20"/>
        <v>0.15409192956460238</v>
      </c>
      <c r="C503" s="17">
        <f>IF(AND(問題解答データベース!D503&gt;=小テスト!$C$6,D503&lt;=小テスト!$E$6),1,0)</f>
        <v>1</v>
      </c>
      <c r="D503" s="44">
        <f t="shared" si="21"/>
        <v>502</v>
      </c>
      <c r="E503" s="45" t="s">
        <v>666</v>
      </c>
      <c r="F503" s="46" t="s">
        <v>2415</v>
      </c>
    </row>
    <row r="504" spans="1:6" ht="17">
      <c r="A504" s="15">
        <f t="shared" ca="1" si="19"/>
        <v>699</v>
      </c>
      <c r="B504" s="16">
        <f t="shared" ca="1" si="20"/>
        <v>0.6277659819456759</v>
      </c>
      <c r="C504" s="17">
        <f>IF(AND(問題解答データベース!D504&gt;=小テスト!$C$6,D504&lt;=小テスト!$E$6),1,0)</f>
        <v>1</v>
      </c>
      <c r="D504" s="44">
        <f t="shared" si="21"/>
        <v>503</v>
      </c>
      <c r="E504" s="45" t="s">
        <v>667</v>
      </c>
      <c r="F504" s="46" t="s">
        <v>2416</v>
      </c>
    </row>
    <row r="505" spans="1:6" ht="17">
      <c r="A505" s="15">
        <f t="shared" ca="1" si="19"/>
        <v>385</v>
      </c>
      <c r="B505" s="16">
        <f t="shared" ca="1" si="20"/>
        <v>0.79303597391665315</v>
      </c>
      <c r="C505" s="17">
        <f>IF(AND(問題解答データベース!D505&gt;=小テスト!$C$6,D505&lt;=小テスト!$E$6),1,0)</f>
        <v>1</v>
      </c>
      <c r="D505" s="44">
        <f t="shared" si="21"/>
        <v>504</v>
      </c>
      <c r="E505" s="45" t="s">
        <v>668</v>
      </c>
      <c r="F505" s="46" t="s">
        <v>2417</v>
      </c>
    </row>
    <row r="506" spans="1:6" ht="17">
      <c r="A506" s="15">
        <f t="shared" ca="1" si="19"/>
        <v>1699</v>
      </c>
      <c r="B506" s="16">
        <f t="shared" ca="1" si="20"/>
        <v>9.9915342253667272E-2</v>
      </c>
      <c r="C506" s="17">
        <f>IF(AND(問題解答データベース!D506&gt;=小テスト!$C$6,D506&lt;=小テスト!$E$6),1,0)</f>
        <v>1</v>
      </c>
      <c r="D506" s="44">
        <f t="shared" si="21"/>
        <v>505</v>
      </c>
      <c r="E506" s="45" t="s">
        <v>669</v>
      </c>
      <c r="F506" s="46" t="s">
        <v>2418</v>
      </c>
    </row>
    <row r="507" spans="1:6" ht="17">
      <c r="A507" s="15">
        <f t="shared" ca="1" si="19"/>
        <v>870</v>
      </c>
      <c r="B507" s="16">
        <f t="shared" ca="1" si="20"/>
        <v>0.53642363019072459</v>
      </c>
      <c r="C507" s="17">
        <f>IF(AND(問題解答データベース!D507&gt;=小テスト!$C$6,D507&lt;=小テスト!$E$6),1,0)</f>
        <v>1</v>
      </c>
      <c r="D507" s="44">
        <f t="shared" si="21"/>
        <v>506</v>
      </c>
      <c r="E507" s="45" t="s">
        <v>670</v>
      </c>
      <c r="F507" s="46" t="s">
        <v>2419</v>
      </c>
    </row>
    <row r="508" spans="1:6" ht="17">
      <c r="A508" s="15">
        <f t="shared" ca="1" si="19"/>
        <v>1875</v>
      </c>
      <c r="B508" s="16">
        <f t="shared" ca="1" si="20"/>
        <v>1.2385213651711857E-2</v>
      </c>
      <c r="C508" s="17">
        <f>IF(AND(問題解答データベース!D508&gt;=小テスト!$C$6,D508&lt;=小テスト!$E$6),1,0)</f>
        <v>1</v>
      </c>
      <c r="D508" s="44">
        <f t="shared" si="21"/>
        <v>507</v>
      </c>
      <c r="E508" s="45" t="s">
        <v>671</v>
      </c>
      <c r="F508" s="46" t="s">
        <v>2420</v>
      </c>
    </row>
    <row r="509" spans="1:6" ht="17">
      <c r="A509" s="15">
        <f t="shared" ca="1" si="19"/>
        <v>114</v>
      </c>
      <c r="B509" s="16">
        <f t="shared" ca="1" si="20"/>
        <v>0.94488071229172643</v>
      </c>
      <c r="C509" s="17">
        <f>IF(AND(問題解答データベース!D509&gt;=小テスト!$C$6,D509&lt;=小テスト!$E$6),1,0)</f>
        <v>1</v>
      </c>
      <c r="D509" s="44">
        <f t="shared" si="21"/>
        <v>508</v>
      </c>
      <c r="E509" s="45" t="s">
        <v>672</v>
      </c>
      <c r="F509" s="46" t="s">
        <v>2421</v>
      </c>
    </row>
    <row r="510" spans="1:6" ht="17">
      <c r="A510" s="15">
        <f t="shared" ca="1" si="19"/>
        <v>5</v>
      </c>
      <c r="B510" s="16">
        <f t="shared" ca="1" si="20"/>
        <v>0.9978439177767332</v>
      </c>
      <c r="C510" s="17">
        <f>IF(AND(問題解答データベース!D510&gt;=小テスト!$C$6,D510&lt;=小テスト!$E$6),1,0)</f>
        <v>1</v>
      </c>
      <c r="D510" s="44">
        <f t="shared" si="21"/>
        <v>509</v>
      </c>
      <c r="E510" s="45" t="s">
        <v>673</v>
      </c>
      <c r="F510" s="46" t="s">
        <v>2422</v>
      </c>
    </row>
    <row r="511" spans="1:6" ht="17">
      <c r="A511" s="15">
        <f t="shared" ca="1" si="19"/>
        <v>784</v>
      </c>
      <c r="B511" s="16">
        <f t="shared" ca="1" si="20"/>
        <v>0.58398065552539691</v>
      </c>
      <c r="C511" s="17">
        <f>IF(AND(問題解答データベース!D511&gt;=小テスト!$C$6,D511&lt;=小テスト!$E$6),1,0)</f>
        <v>1</v>
      </c>
      <c r="D511" s="44">
        <f t="shared" si="21"/>
        <v>510</v>
      </c>
      <c r="E511" s="45" t="s">
        <v>674</v>
      </c>
      <c r="F511" s="46" t="s">
        <v>2423</v>
      </c>
    </row>
    <row r="512" spans="1:6" ht="17">
      <c r="A512" s="15">
        <f t="shared" ca="1" si="19"/>
        <v>560</v>
      </c>
      <c r="B512" s="16">
        <f t="shared" ca="1" si="20"/>
        <v>0.7078913778537379</v>
      </c>
      <c r="C512" s="17">
        <f>IF(AND(問題解答データベース!D512&gt;=小テスト!$C$6,D512&lt;=小テスト!$E$6),1,0)</f>
        <v>1</v>
      </c>
      <c r="D512" s="44">
        <f t="shared" si="21"/>
        <v>511</v>
      </c>
      <c r="E512" s="45" t="s">
        <v>675</v>
      </c>
      <c r="F512" s="46" t="s">
        <v>2424</v>
      </c>
    </row>
    <row r="513" spans="1:6" ht="17">
      <c r="A513" s="15">
        <f t="shared" ca="1" si="19"/>
        <v>581</v>
      </c>
      <c r="B513" s="16">
        <f t="shared" ca="1" si="20"/>
        <v>0.69559155230895786</v>
      </c>
      <c r="C513" s="17">
        <f>IF(AND(問題解答データベース!D513&gt;=小テスト!$C$6,D513&lt;=小テスト!$E$6),1,0)</f>
        <v>1</v>
      </c>
      <c r="D513" s="44">
        <f t="shared" si="21"/>
        <v>512</v>
      </c>
      <c r="E513" s="45" t="s">
        <v>676</v>
      </c>
      <c r="F513" s="46" t="s">
        <v>2425</v>
      </c>
    </row>
    <row r="514" spans="1:6" ht="17">
      <c r="A514" s="15">
        <f t="shared" ca="1" si="19"/>
        <v>1422</v>
      </c>
      <c r="B514" s="16">
        <f t="shared" ca="1" si="20"/>
        <v>0.25174260960342154</v>
      </c>
      <c r="C514" s="17">
        <f>IF(AND(問題解答データベース!D514&gt;=小テスト!$C$6,D514&lt;=小テスト!$E$6),1,0)</f>
        <v>1</v>
      </c>
      <c r="D514" s="44">
        <f t="shared" si="21"/>
        <v>513</v>
      </c>
      <c r="E514" s="45" t="s">
        <v>677</v>
      </c>
      <c r="F514" s="46" t="s">
        <v>2426</v>
      </c>
    </row>
    <row r="515" spans="1:6" ht="17">
      <c r="A515" s="15">
        <f t="shared" ref="A515:A578" ca="1" si="22">RANK(B515,$B$2:$B$1901,0)</f>
        <v>1219</v>
      </c>
      <c r="B515" s="16">
        <f t="shared" ca="1" si="20"/>
        <v>0.36362839376661504</v>
      </c>
      <c r="C515" s="17">
        <f>IF(AND(問題解答データベース!D515&gt;=小テスト!$C$6,D515&lt;=小テスト!$E$6),1,0)</f>
        <v>1</v>
      </c>
      <c r="D515" s="44">
        <f t="shared" si="21"/>
        <v>514</v>
      </c>
      <c r="E515" s="45" t="s">
        <v>678</v>
      </c>
      <c r="F515" s="46" t="s">
        <v>2427</v>
      </c>
    </row>
    <row r="516" spans="1:6" ht="17">
      <c r="A516" s="15">
        <f t="shared" ca="1" si="22"/>
        <v>1631</v>
      </c>
      <c r="B516" s="16">
        <f t="shared" ca="1" si="20"/>
        <v>0.13951074726533041</v>
      </c>
      <c r="C516" s="17">
        <f>IF(AND(問題解答データベース!D516&gt;=小テスト!$C$6,D516&lt;=小テスト!$E$6),1,0)</f>
        <v>1</v>
      </c>
      <c r="D516" s="44">
        <f t="shared" si="21"/>
        <v>515</v>
      </c>
      <c r="E516" s="45" t="s">
        <v>679</v>
      </c>
      <c r="F516" s="46" t="s">
        <v>2428</v>
      </c>
    </row>
    <row r="517" spans="1:6" ht="17">
      <c r="A517" s="15">
        <f t="shared" ca="1" si="22"/>
        <v>1881</v>
      </c>
      <c r="B517" s="16">
        <f t="shared" ca="1" si="20"/>
        <v>9.5781571128162879E-3</v>
      </c>
      <c r="C517" s="17">
        <f>IF(AND(問題解答データベース!D517&gt;=小テスト!$C$6,D517&lt;=小テスト!$E$6),1,0)</f>
        <v>1</v>
      </c>
      <c r="D517" s="44">
        <f t="shared" si="21"/>
        <v>516</v>
      </c>
      <c r="E517" s="45" t="s">
        <v>680</v>
      </c>
      <c r="F517" s="46" t="s">
        <v>2429</v>
      </c>
    </row>
    <row r="518" spans="1:6" ht="17">
      <c r="A518" s="15">
        <f t="shared" ca="1" si="22"/>
        <v>680</v>
      </c>
      <c r="B518" s="16">
        <f t="shared" ca="1" si="20"/>
        <v>0.64272493666626207</v>
      </c>
      <c r="C518" s="17">
        <f>IF(AND(問題解答データベース!D518&gt;=小テスト!$C$6,D518&lt;=小テスト!$E$6),1,0)</f>
        <v>1</v>
      </c>
      <c r="D518" s="44">
        <f t="shared" si="21"/>
        <v>517</v>
      </c>
      <c r="E518" s="45" t="s">
        <v>681</v>
      </c>
      <c r="F518" s="46" t="s">
        <v>2430</v>
      </c>
    </row>
    <row r="519" spans="1:6" ht="17">
      <c r="A519" s="15">
        <f t="shared" ca="1" si="22"/>
        <v>452</v>
      </c>
      <c r="B519" s="16">
        <f t="shared" ca="1" si="20"/>
        <v>0.76451673378115736</v>
      </c>
      <c r="C519" s="17">
        <f>IF(AND(問題解答データベース!D519&gt;=小テスト!$C$6,D519&lt;=小テスト!$E$6),1,0)</f>
        <v>1</v>
      </c>
      <c r="D519" s="44">
        <f t="shared" si="21"/>
        <v>518</v>
      </c>
      <c r="E519" s="45" t="s">
        <v>682</v>
      </c>
      <c r="F519" s="46" t="s">
        <v>2431</v>
      </c>
    </row>
    <row r="520" spans="1:6" ht="17">
      <c r="A520" s="15">
        <f t="shared" ca="1" si="22"/>
        <v>374</v>
      </c>
      <c r="B520" s="16">
        <f t="shared" ca="1" si="20"/>
        <v>0.7994836318143359</v>
      </c>
      <c r="C520" s="17">
        <f>IF(AND(問題解答データベース!D520&gt;=小テスト!$C$6,D520&lt;=小テスト!$E$6),1,0)</f>
        <v>1</v>
      </c>
      <c r="D520" s="44">
        <f t="shared" si="21"/>
        <v>519</v>
      </c>
      <c r="E520" s="45" t="s">
        <v>683</v>
      </c>
      <c r="F520" s="46" t="s">
        <v>2432</v>
      </c>
    </row>
    <row r="521" spans="1:6" ht="17">
      <c r="A521" s="15">
        <f t="shared" ca="1" si="22"/>
        <v>419</v>
      </c>
      <c r="B521" s="16">
        <f t="shared" ca="1" si="20"/>
        <v>0.7786314817124822</v>
      </c>
      <c r="C521" s="17">
        <f>IF(AND(問題解答データベース!D521&gt;=小テスト!$C$6,D521&lt;=小テスト!$E$6),1,0)</f>
        <v>1</v>
      </c>
      <c r="D521" s="44">
        <f t="shared" si="21"/>
        <v>520</v>
      </c>
      <c r="E521" s="45" t="s">
        <v>684</v>
      </c>
      <c r="F521" s="46" t="s">
        <v>2433</v>
      </c>
    </row>
    <row r="522" spans="1:6" ht="17">
      <c r="A522" s="15">
        <f t="shared" ca="1" si="22"/>
        <v>741</v>
      </c>
      <c r="B522" s="16">
        <f t="shared" ref="B522:B585" ca="1" si="23">IF(C522=1,RAND(),0)</f>
        <v>0.60546152522899122</v>
      </c>
      <c r="C522" s="17">
        <f>IF(AND(問題解答データベース!D522&gt;=小テスト!$C$6,D522&lt;=小テスト!$E$6),1,0)</f>
        <v>1</v>
      </c>
      <c r="D522" s="44">
        <f t="shared" si="21"/>
        <v>521</v>
      </c>
      <c r="E522" s="45" t="s">
        <v>685</v>
      </c>
      <c r="F522" s="46" t="s">
        <v>2434</v>
      </c>
    </row>
    <row r="523" spans="1:6" ht="17">
      <c r="A523" s="15">
        <f t="shared" ca="1" si="22"/>
        <v>1483</v>
      </c>
      <c r="B523" s="16">
        <f t="shared" ca="1" si="23"/>
        <v>0.21241071291859825</v>
      </c>
      <c r="C523" s="17">
        <f>IF(AND(問題解答データベース!D523&gt;=小テスト!$C$6,D523&lt;=小テスト!$E$6),1,0)</f>
        <v>1</v>
      </c>
      <c r="D523" s="44">
        <f t="shared" si="21"/>
        <v>522</v>
      </c>
      <c r="E523" s="45" t="s">
        <v>686</v>
      </c>
      <c r="F523" s="46" t="s">
        <v>2435</v>
      </c>
    </row>
    <row r="524" spans="1:6" ht="17">
      <c r="A524" s="15">
        <f t="shared" ca="1" si="22"/>
        <v>1128</v>
      </c>
      <c r="B524" s="16">
        <f t="shared" ca="1" si="23"/>
        <v>0.40841241916559445</v>
      </c>
      <c r="C524" s="17">
        <f>IF(AND(問題解答データベース!D524&gt;=小テスト!$C$6,D524&lt;=小テスト!$E$6),1,0)</f>
        <v>1</v>
      </c>
      <c r="D524" s="44">
        <f t="shared" si="21"/>
        <v>523</v>
      </c>
      <c r="E524" s="45" t="s">
        <v>687</v>
      </c>
      <c r="F524" s="46" t="s">
        <v>2436</v>
      </c>
    </row>
    <row r="525" spans="1:6" ht="17">
      <c r="A525" s="15">
        <f t="shared" ca="1" si="22"/>
        <v>216</v>
      </c>
      <c r="B525" s="16">
        <f t="shared" ca="1" si="23"/>
        <v>0.89440224579498506</v>
      </c>
      <c r="C525" s="17">
        <f>IF(AND(問題解答データベース!D525&gt;=小テスト!$C$6,D525&lt;=小テスト!$E$6),1,0)</f>
        <v>1</v>
      </c>
      <c r="D525" s="44">
        <f t="shared" ref="D525:D588" si="24">D524+1</f>
        <v>524</v>
      </c>
      <c r="E525" s="45" t="s">
        <v>688</v>
      </c>
      <c r="F525" s="46" t="s">
        <v>2437</v>
      </c>
    </row>
    <row r="526" spans="1:6" ht="17">
      <c r="A526" s="15">
        <f t="shared" ca="1" si="22"/>
        <v>1634</v>
      </c>
      <c r="B526" s="16">
        <f t="shared" ca="1" si="23"/>
        <v>0.13790378675690984</v>
      </c>
      <c r="C526" s="17">
        <f>IF(AND(問題解答データベース!D526&gt;=小テスト!$C$6,D526&lt;=小テスト!$E$6),1,0)</f>
        <v>1</v>
      </c>
      <c r="D526" s="44">
        <f t="shared" si="24"/>
        <v>525</v>
      </c>
      <c r="E526" s="45" t="s">
        <v>689</v>
      </c>
      <c r="F526" s="46" t="s">
        <v>2438</v>
      </c>
    </row>
    <row r="527" spans="1:6" ht="17">
      <c r="A527" s="15">
        <f t="shared" ca="1" si="22"/>
        <v>335</v>
      </c>
      <c r="B527" s="16">
        <f t="shared" ca="1" si="23"/>
        <v>0.81923929647352611</v>
      </c>
      <c r="C527" s="17">
        <f>IF(AND(問題解答データベース!D527&gt;=小テスト!$C$6,D527&lt;=小テスト!$E$6),1,0)</f>
        <v>1</v>
      </c>
      <c r="D527" s="44">
        <f t="shared" si="24"/>
        <v>526</v>
      </c>
      <c r="E527" s="45" t="s">
        <v>690</v>
      </c>
      <c r="F527" s="46" t="s">
        <v>2439</v>
      </c>
    </row>
    <row r="528" spans="1:6" ht="17">
      <c r="A528" s="15">
        <f t="shared" ca="1" si="22"/>
        <v>80</v>
      </c>
      <c r="B528" s="16">
        <f t="shared" ca="1" si="23"/>
        <v>0.962687104850107</v>
      </c>
      <c r="C528" s="17">
        <f>IF(AND(問題解答データベース!D528&gt;=小テスト!$C$6,D528&lt;=小テスト!$E$6),1,0)</f>
        <v>1</v>
      </c>
      <c r="D528" s="44">
        <f t="shared" si="24"/>
        <v>527</v>
      </c>
      <c r="E528" s="45" t="s">
        <v>691</v>
      </c>
      <c r="F528" s="46" t="s">
        <v>2440</v>
      </c>
    </row>
    <row r="529" spans="1:6" ht="17">
      <c r="A529" s="15">
        <f t="shared" ca="1" si="22"/>
        <v>1900</v>
      </c>
      <c r="B529" s="16">
        <f t="shared" ca="1" si="23"/>
        <v>3.4603084730910894E-5</v>
      </c>
      <c r="C529" s="17">
        <f>IF(AND(問題解答データベース!D529&gt;=小テスト!$C$6,D529&lt;=小テスト!$E$6),1,0)</f>
        <v>1</v>
      </c>
      <c r="D529" s="44">
        <f t="shared" si="24"/>
        <v>528</v>
      </c>
      <c r="E529" s="45" t="s">
        <v>692</v>
      </c>
      <c r="F529" s="46" t="s">
        <v>2441</v>
      </c>
    </row>
    <row r="530" spans="1:6" ht="17">
      <c r="A530" s="15">
        <f t="shared" ca="1" si="22"/>
        <v>815</v>
      </c>
      <c r="B530" s="16">
        <f t="shared" ca="1" si="23"/>
        <v>0.56628676544889744</v>
      </c>
      <c r="C530" s="17">
        <f>IF(AND(問題解答データベース!D530&gt;=小テスト!$C$6,D530&lt;=小テスト!$E$6),1,0)</f>
        <v>1</v>
      </c>
      <c r="D530" s="44">
        <f t="shared" si="24"/>
        <v>529</v>
      </c>
      <c r="E530" s="45" t="s">
        <v>693</v>
      </c>
      <c r="F530" s="46" t="s">
        <v>2442</v>
      </c>
    </row>
    <row r="531" spans="1:6" ht="17">
      <c r="A531" s="15">
        <f t="shared" ca="1" si="22"/>
        <v>799</v>
      </c>
      <c r="B531" s="16">
        <f t="shared" ca="1" si="23"/>
        <v>0.57736926948927625</v>
      </c>
      <c r="C531" s="17">
        <f>IF(AND(問題解答データベース!D531&gt;=小テスト!$C$6,D531&lt;=小テスト!$E$6),1,0)</f>
        <v>1</v>
      </c>
      <c r="D531" s="44">
        <f t="shared" si="24"/>
        <v>530</v>
      </c>
      <c r="E531" s="45" t="s">
        <v>694</v>
      </c>
      <c r="F531" s="46" t="s">
        <v>2443</v>
      </c>
    </row>
    <row r="532" spans="1:6" ht="17">
      <c r="A532" s="15">
        <f t="shared" ca="1" si="22"/>
        <v>1725</v>
      </c>
      <c r="B532" s="16">
        <f t="shared" ca="1" si="23"/>
        <v>8.5957634926605131E-2</v>
      </c>
      <c r="C532" s="17">
        <f>IF(AND(問題解答データベース!D532&gt;=小テスト!$C$6,D532&lt;=小テスト!$E$6),1,0)</f>
        <v>1</v>
      </c>
      <c r="D532" s="44">
        <f t="shared" si="24"/>
        <v>531</v>
      </c>
      <c r="E532" s="45" t="s">
        <v>695</v>
      </c>
      <c r="F532" s="46" t="s">
        <v>2444</v>
      </c>
    </row>
    <row r="533" spans="1:6" ht="17">
      <c r="A533" s="15">
        <f t="shared" ca="1" si="22"/>
        <v>258</v>
      </c>
      <c r="B533" s="16">
        <f t="shared" ca="1" si="23"/>
        <v>0.86606365356732606</v>
      </c>
      <c r="C533" s="17">
        <f>IF(AND(問題解答データベース!D533&gt;=小テスト!$C$6,D533&lt;=小テスト!$E$6),1,0)</f>
        <v>1</v>
      </c>
      <c r="D533" s="44">
        <f t="shared" si="24"/>
        <v>532</v>
      </c>
      <c r="E533" s="45" t="s">
        <v>696</v>
      </c>
      <c r="F533" s="46" t="s">
        <v>2445</v>
      </c>
    </row>
    <row r="534" spans="1:6" ht="17">
      <c r="A534" s="15">
        <f t="shared" ca="1" si="22"/>
        <v>978</v>
      </c>
      <c r="B534" s="16">
        <f t="shared" ca="1" si="23"/>
        <v>0.48802730035894493</v>
      </c>
      <c r="C534" s="17">
        <f>IF(AND(問題解答データベース!D534&gt;=小テスト!$C$6,D534&lt;=小テスト!$E$6),1,0)</f>
        <v>1</v>
      </c>
      <c r="D534" s="44">
        <f t="shared" si="24"/>
        <v>533</v>
      </c>
      <c r="E534" s="45" t="s">
        <v>697</v>
      </c>
      <c r="F534" s="46" t="s">
        <v>2446</v>
      </c>
    </row>
    <row r="535" spans="1:6" ht="17">
      <c r="A535" s="15">
        <f t="shared" ca="1" si="22"/>
        <v>253</v>
      </c>
      <c r="B535" s="16">
        <f t="shared" ca="1" si="23"/>
        <v>0.86921923746853424</v>
      </c>
      <c r="C535" s="17">
        <f>IF(AND(問題解答データベース!D535&gt;=小テスト!$C$6,D535&lt;=小テスト!$E$6),1,0)</f>
        <v>1</v>
      </c>
      <c r="D535" s="44">
        <f t="shared" si="24"/>
        <v>534</v>
      </c>
      <c r="E535" s="45" t="s">
        <v>698</v>
      </c>
      <c r="F535" s="46" t="s">
        <v>2447</v>
      </c>
    </row>
    <row r="536" spans="1:6" ht="17">
      <c r="A536" s="15">
        <f t="shared" ca="1" si="22"/>
        <v>1546</v>
      </c>
      <c r="B536" s="16">
        <f t="shared" ca="1" si="23"/>
        <v>0.1809541619463978</v>
      </c>
      <c r="C536" s="17">
        <f>IF(AND(問題解答データベース!D536&gt;=小テスト!$C$6,D536&lt;=小テスト!$E$6),1,0)</f>
        <v>1</v>
      </c>
      <c r="D536" s="44">
        <f t="shared" si="24"/>
        <v>535</v>
      </c>
      <c r="E536" s="45" t="s">
        <v>699</v>
      </c>
      <c r="F536" s="46" t="s">
        <v>2448</v>
      </c>
    </row>
    <row r="537" spans="1:6" ht="17">
      <c r="A537" s="15">
        <f t="shared" ca="1" si="22"/>
        <v>1146</v>
      </c>
      <c r="B537" s="16">
        <f t="shared" ca="1" si="23"/>
        <v>0.39910133894840305</v>
      </c>
      <c r="C537" s="17">
        <f>IF(AND(問題解答データベース!D537&gt;=小テスト!$C$6,D537&lt;=小テスト!$E$6),1,0)</f>
        <v>1</v>
      </c>
      <c r="D537" s="44">
        <f t="shared" si="24"/>
        <v>536</v>
      </c>
      <c r="E537" s="45" t="s">
        <v>700</v>
      </c>
      <c r="F537" s="46" t="s">
        <v>2449</v>
      </c>
    </row>
    <row r="538" spans="1:6" ht="17">
      <c r="A538" s="15">
        <f t="shared" ca="1" si="22"/>
        <v>1559</v>
      </c>
      <c r="B538" s="16">
        <f t="shared" ca="1" si="23"/>
        <v>0.17399096558540039</v>
      </c>
      <c r="C538" s="17">
        <f>IF(AND(問題解答データベース!D538&gt;=小テスト!$C$6,D538&lt;=小テスト!$E$6),1,0)</f>
        <v>1</v>
      </c>
      <c r="D538" s="44">
        <f t="shared" si="24"/>
        <v>537</v>
      </c>
      <c r="E538" s="45" t="s">
        <v>701</v>
      </c>
      <c r="F538" s="46" t="s">
        <v>2450</v>
      </c>
    </row>
    <row r="539" spans="1:6" ht="17">
      <c r="A539" s="15">
        <f t="shared" ca="1" si="22"/>
        <v>48</v>
      </c>
      <c r="B539" s="16">
        <f t="shared" ca="1" si="23"/>
        <v>0.97311778329240606</v>
      </c>
      <c r="C539" s="17">
        <f>IF(AND(問題解答データベース!D539&gt;=小テスト!$C$6,D539&lt;=小テスト!$E$6),1,0)</f>
        <v>1</v>
      </c>
      <c r="D539" s="44">
        <f t="shared" si="24"/>
        <v>538</v>
      </c>
      <c r="E539" s="45" t="s">
        <v>702</v>
      </c>
      <c r="F539" s="46" t="s">
        <v>2451</v>
      </c>
    </row>
    <row r="540" spans="1:6" ht="17">
      <c r="A540" s="15">
        <f t="shared" ca="1" si="22"/>
        <v>661</v>
      </c>
      <c r="B540" s="16">
        <f t="shared" ca="1" si="23"/>
        <v>0.65251876425814437</v>
      </c>
      <c r="C540" s="17">
        <f>IF(AND(問題解答データベース!D540&gt;=小テスト!$C$6,D540&lt;=小テスト!$E$6),1,0)</f>
        <v>1</v>
      </c>
      <c r="D540" s="44">
        <f t="shared" si="24"/>
        <v>539</v>
      </c>
      <c r="E540" s="45" t="s">
        <v>703</v>
      </c>
      <c r="F540" s="46" t="s">
        <v>2452</v>
      </c>
    </row>
    <row r="541" spans="1:6" ht="17">
      <c r="A541" s="15">
        <f t="shared" ca="1" si="22"/>
        <v>131</v>
      </c>
      <c r="B541" s="16">
        <f t="shared" ca="1" si="23"/>
        <v>0.9378256557568152</v>
      </c>
      <c r="C541" s="17">
        <f>IF(AND(問題解答データベース!D541&gt;=小テスト!$C$6,D541&lt;=小テスト!$E$6),1,0)</f>
        <v>1</v>
      </c>
      <c r="D541" s="44">
        <f t="shared" si="24"/>
        <v>540</v>
      </c>
      <c r="E541" s="45" t="s">
        <v>704</v>
      </c>
      <c r="F541" s="46" t="s">
        <v>2453</v>
      </c>
    </row>
    <row r="542" spans="1:6" ht="17">
      <c r="A542" s="15">
        <f t="shared" ca="1" si="22"/>
        <v>1493</v>
      </c>
      <c r="B542" s="16">
        <f t="shared" ca="1" si="23"/>
        <v>0.204866213985746</v>
      </c>
      <c r="C542" s="17">
        <f>IF(AND(問題解答データベース!D542&gt;=小テスト!$C$6,D542&lt;=小テスト!$E$6),1,0)</f>
        <v>1</v>
      </c>
      <c r="D542" s="44">
        <f t="shared" si="24"/>
        <v>541</v>
      </c>
      <c r="E542" s="45" t="s">
        <v>705</v>
      </c>
      <c r="F542" s="46" t="s">
        <v>2454</v>
      </c>
    </row>
    <row r="543" spans="1:6" ht="17">
      <c r="A543" s="15">
        <f t="shared" ca="1" si="22"/>
        <v>509</v>
      </c>
      <c r="B543" s="16">
        <f t="shared" ca="1" si="23"/>
        <v>0.73612929819277106</v>
      </c>
      <c r="C543" s="17">
        <f>IF(AND(問題解答データベース!D543&gt;=小テスト!$C$6,D543&lt;=小テスト!$E$6),1,0)</f>
        <v>1</v>
      </c>
      <c r="D543" s="44">
        <f t="shared" si="24"/>
        <v>542</v>
      </c>
      <c r="E543" s="45" t="s">
        <v>706</v>
      </c>
      <c r="F543" s="46" t="s">
        <v>2455</v>
      </c>
    </row>
    <row r="544" spans="1:6" ht="17">
      <c r="A544" s="15">
        <f t="shared" ca="1" si="22"/>
        <v>537</v>
      </c>
      <c r="B544" s="16">
        <f t="shared" ca="1" si="23"/>
        <v>0.72089613013252429</v>
      </c>
      <c r="C544" s="17">
        <f>IF(AND(問題解答データベース!D544&gt;=小テスト!$C$6,D544&lt;=小テスト!$E$6),1,0)</f>
        <v>1</v>
      </c>
      <c r="D544" s="44">
        <f t="shared" si="24"/>
        <v>543</v>
      </c>
      <c r="E544" s="45" t="s">
        <v>707</v>
      </c>
      <c r="F544" s="46" t="s">
        <v>2456</v>
      </c>
    </row>
    <row r="545" spans="1:6" ht="17">
      <c r="A545" s="15">
        <f t="shared" ca="1" si="22"/>
        <v>707</v>
      </c>
      <c r="B545" s="16">
        <f t="shared" ca="1" si="23"/>
        <v>0.62399431775380376</v>
      </c>
      <c r="C545" s="17">
        <f>IF(AND(問題解答データベース!D545&gt;=小テスト!$C$6,D545&lt;=小テスト!$E$6),1,0)</f>
        <v>1</v>
      </c>
      <c r="D545" s="44">
        <f t="shared" si="24"/>
        <v>544</v>
      </c>
      <c r="E545" s="45" t="s">
        <v>708</v>
      </c>
      <c r="F545" s="46" t="s">
        <v>2457</v>
      </c>
    </row>
    <row r="546" spans="1:6" ht="17">
      <c r="A546" s="15">
        <f t="shared" ca="1" si="22"/>
        <v>1251</v>
      </c>
      <c r="B546" s="16">
        <f t="shared" ca="1" si="23"/>
        <v>0.35001398658125726</v>
      </c>
      <c r="C546" s="17">
        <f>IF(AND(問題解答データベース!D546&gt;=小テスト!$C$6,D546&lt;=小テスト!$E$6),1,0)</f>
        <v>1</v>
      </c>
      <c r="D546" s="44">
        <f t="shared" si="24"/>
        <v>545</v>
      </c>
      <c r="E546" s="45" t="s">
        <v>709</v>
      </c>
      <c r="F546" s="46" t="s">
        <v>2458</v>
      </c>
    </row>
    <row r="547" spans="1:6" ht="17">
      <c r="A547" s="15">
        <f t="shared" ca="1" si="22"/>
        <v>1793</v>
      </c>
      <c r="B547" s="16">
        <f t="shared" ca="1" si="23"/>
        <v>5.1638326508333443E-2</v>
      </c>
      <c r="C547" s="17">
        <f>IF(AND(問題解答データベース!D547&gt;=小テスト!$C$6,D547&lt;=小テスト!$E$6),1,0)</f>
        <v>1</v>
      </c>
      <c r="D547" s="44">
        <f t="shared" si="24"/>
        <v>546</v>
      </c>
      <c r="E547" s="45" t="s">
        <v>710</v>
      </c>
      <c r="F547" s="46" t="s">
        <v>2459</v>
      </c>
    </row>
    <row r="548" spans="1:6" ht="17">
      <c r="A548" s="15">
        <f t="shared" ca="1" si="22"/>
        <v>1322</v>
      </c>
      <c r="B548" s="16">
        <f t="shared" ca="1" si="23"/>
        <v>0.30672806006240871</v>
      </c>
      <c r="C548" s="17">
        <f>IF(AND(問題解答データベース!D548&gt;=小テスト!$C$6,D548&lt;=小テスト!$E$6),1,0)</f>
        <v>1</v>
      </c>
      <c r="D548" s="44">
        <f t="shared" si="24"/>
        <v>547</v>
      </c>
      <c r="E548" s="45" t="s">
        <v>711</v>
      </c>
      <c r="F548" s="46" t="s">
        <v>2460</v>
      </c>
    </row>
    <row r="549" spans="1:6" ht="17">
      <c r="A549" s="15">
        <f t="shared" ca="1" si="22"/>
        <v>99</v>
      </c>
      <c r="B549" s="16">
        <f t="shared" ca="1" si="23"/>
        <v>0.95282849834034089</v>
      </c>
      <c r="C549" s="17">
        <f>IF(AND(問題解答データベース!D549&gt;=小テスト!$C$6,D549&lt;=小テスト!$E$6),1,0)</f>
        <v>1</v>
      </c>
      <c r="D549" s="44">
        <f t="shared" si="24"/>
        <v>548</v>
      </c>
      <c r="E549" s="45" t="s">
        <v>712</v>
      </c>
      <c r="F549" s="46" t="s">
        <v>2461</v>
      </c>
    </row>
    <row r="550" spans="1:6" ht="17">
      <c r="A550" s="15">
        <f t="shared" ca="1" si="22"/>
        <v>1833</v>
      </c>
      <c r="B550" s="16">
        <f t="shared" ca="1" si="23"/>
        <v>3.3632421996658834E-2</v>
      </c>
      <c r="C550" s="17">
        <f>IF(AND(問題解答データベース!D550&gt;=小テスト!$C$6,D550&lt;=小テスト!$E$6),1,0)</f>
        <v>1</v>
      </c>
      <c r="D550" s="44">
        <f t="shared" si="24"/>
        <v>549</v>
      </c>
      <c r="E550" s="45" t="s">
        <v>713</v>
      </c>
      <c r="F550" s="46" t="s">
        <v>2462</v>
      </c>
    </row>
    <row r="551" spans="1:6" ht="17">
      <c r="A551" s="15">
        <f t="shared" ca="1" si="22"/>
        <v>110</v>
      </c>
      <c r="B551" s="16">
        <f t="shared" ca="1" si="23"/>
        <v>0.94861756729828262</v>
      </c>
      <c r="C551" s="17">
        <f>IF(AND(問題解答データベース!D551&gt;=小テスト!$C$6,D551&lt;=小テスト!$E$6),1,0)</f>
        <v>1</v>
      </c>
      <c r="D551" s="44">
        <f t="shared" si="24"/>
        <v>550</v>
      </c>
      <c r="E551" s="45" t="s">
        <v>714</v>
      </c>
      <c r="F551" s="46" t="s">
        <v>2463</v>
      </c>
    </row>
    <row r="552" spans="1:6" ht="17">
      <c r="A552" s="15">
        <f t="shared" ca="1" si="22"/>
        <v>662</v>
      </c>
      <c r="B552" s="16">
        <f t="shared" ca="1" si="23"/>
        <v>0.65217136700438183</v>
      </c>
      <c r="C552" s="17">
        <f>IF(AND(問題解答データベース!D552&gt;=小テスト!$C$6,D552&lt;=小テスト!$E$6),1,0)</f>
        <v>1</v>
      </c>
      <c r="D552" s="44">
        <f t="shared" si="24"/>
        <v>551</v>
      </c>
      <c r="E552" s="45" t="s">
        <v>715</v>
      </c>
      <c r="F552" s="46" t="s">
        <v>2464</v>
      </c>
    </row>
    <row r="553" spans="1:6" ht="17">
      <c r="A553" s="15">
        <f t="shared" ca="1" si="22"/>
        <v>212</v>
      </c>
      <c r="B553" s="16">
        <f t="shared" ca="1" si="23"/>
        <v>0.89618970337914639</v>
      </c>
      <c r="C553" s="17">
        <f>IF(AND(問題解答データベース!D553&gt;=小テスト!$C$6,D553&lt;=小テスト!$E$6),1,0)</f>
        <v>1</v>
      </c>
      <c r="D553" s="44">
        <f t="shared" si="24"/>
        <v>552</v>
      </c>
      <c r="E553" s="45" t="s">
        <v>716</v>
      </c>
      <c r="F553" s="46" t="s">
        <v>2465</v>
      </c>
    </row>
    <row r="554" spans="1:6" ht="17">
      <c r="A554" s="15">
        <f t="shared" ca="1" si="22"/>
        <v>501</v>
      </c>
      <c r="B554" s="16">
        <f t="shared" ca="1" si="23"/>
        <v>0.73981817826701468</v>
      </c>
      <c r="C554" s="17">
        <f>IF(AND(問題解答データベース!D554&gt;=小テスト!$C$6,D554&lt;=小テスト!$E$6),1,0)</f>
        <v>1</v>
      </c>
      <c r="D554" s="44">
        <f t="shared" si="24"/>
        <v>553</v>
      </c>
      <c r="E554" s="45" t="s">
        <v>717</v>
      </c>
      <c r="F554" s="46" t="s">
        <v>2466</v>
      </c>
    </row>
    <row r="555" spans="1:6" ht="17">
      <c r="A555" s="15">
        <f t="shared" ca="1" si="22"/>
        <v>223</v>
      </c>
      <c r="B555" s="16">
        <f t="shared" ca="1" si="23"/>
        <v>0.88936556279518175</v>
      </c>
      <c r="C555" s="17">
        <f>IF(AND(問題解答データベース!D555&gt;=小テスト!$C$6,D555&lt;=小テスト!$E$6),1,0)</f>
        <v>1</v>
      </c>
      <c r="D555" s="44">
        <f t="shared" si="24"/>
        <v>554</v>
      </c>
      <c r="E555" s="45" t="s">
        <v>718</v>
      </c>
      <c r="F555" s="46" t="s">
        <v>2467</v>
      </c>
    </row>
    <row r="556" spans="1:6" ht="17">
      <c r="A556" s="15">
        <f t="shared" ca="1" si="22"/>
        <v>475</v>
      </c>
      <c r="B556" s="16">
        <f t="shared" ca="1" si="23"/>
        <v>0.75481582282132376</v>
      </c>
      <c r="C556" s="17">
        <f>IF(AND(問題解答データベース!D556&gt;=小テスト!$C$6,D556&lt;=小テスト!$E$6),1,0)</f>
        <v>1</v>
      </c>
      <c r="D556" s="44">
        <f t="shared" si="24"/>
        <v>555</v>
      </c>
      <c r="E556" s="45" t="s">
        <v>719</v>
      </c>
      <c r="F556" s="46" t="s">
        <v>2468</v>
      </c>
    </row>
    <row r="557" spans="1:6" ht="17">
      <c r="A557" s="15">
        <f t="shared" ca="1" si="22"/>
        <v>675</v>
      </c>
      <c r="B557" s="16">
        <f t="shared" ca="1" si="23"/>
        <v>0.64623302696084017</v>
      </c>
      <c r="C557" s="17">
        <f>IF(AND(問題解答データベース!D557&gt;=小テスト!$C$6,D557&lt;=小テスト!$E$6),1,0)</f>
        <v>1</v>
      </c>
      <c r="D557" s="44">
        <f t="shared" si="24"/>
        <v>556</v>
      </c>
      <c r="E557" s="45" t="s">
        <v>720</v>
      </c>
      <c r="F557" s="46" t="s">
        <v>2469</v>
      </c>
    </row>
    <row r="558" spans="1:6" ht="17">
      <c r="A558" s="15">
        <f t="shared" ca="1" si="22"/>
        <v>336</v>
      </c>
      <c r="B558" s="16">
        <f t="shared" ca="1" si="23"/>
        <v>0.81901858191646915</v>
      </c>
      <c r="C558" s="17">
        <f>IF(AND(問題解答データベース!D558&gt;=小テスト!$C$6,D558&lt;=小テスト!$E$6),1,0)</f>
        <v>1</v>
      </c>
      <c r="D558" s="44">
        <f t="shared" si="24"/>
        <v>557</v>
      </c>
      <c r="E558" s="45" t="s">
        <v>721</v>
      </c>
      <c r="F558" s="46" t="s">
        <v>2470</v>
      </c>
    </row>
    <row r="559" spans="1:6" ht="17">
      <c r="A559" s="15">
        <f t="shared" ca="1" si="22"/>
        <v>260</v>
      </c>
      <c r="B559" s="16">
        <f t="shared" ca="1" si="23"/>
        <v>0.86586170494883508</v>
      </c>
      <c r="C559" s="17">
        <f>IF(AND(問題解答データベース!D559&gt;=小テスト!$C$6,D559&lt;=小テスト!$E$6),1,0)</f>
        <v>1</v>
      </c>
      <c r="D559" s="44">
        <f t="shared" si="24"/>
        <v>558</v>
      </c>
      <c r="E559" s="45" t="s">
        <v>722</v>
      </c>
      <c r="F559" s="46" t="s">
        <v>2471</v>
      </c>
    </row>
    <row r="560" spans="1:6" ht="17">
      <c r="A560" s="15">
        <f t="shared" ca="1" si="22"/>
        <v>803</v>
      </c>
      <c r="B560" s="16">
        <f t="shared" ca="1" si="23"/>
        <v>0.57494241938272184</v>
      </c>
      <c r="C560" s="17">
        <f>IF(AND(問題解答データベース!D560&gt;=小テスト!$C$6,D560&lt;=小テスト!$E$6),1,0)</f>
        <v>1</v>
      </c>
      <c r="D560" s="44">
        <f t="shared" si="24"/>
        <v>559</v>
      </c>
      <c r="E560" s="45" t="s">
        <v>723</v>
      </c>
      <c r="F560" s="46" t="s">
        <v>2472</v>
      </c>
    </row>
    <row r="561" spans="1:6" ht="17">
      <c r="A561" s="15">
        <f t="shared" ca="1" si="22"/>
        <v>1748</v>
      </c>
      <c r="B561" s="16">
        <f t="shared" ca="1" si="23"/>
        <v>7.6023613902621912E-2</v>
      </c>
      <c r="C561" s="17">
        <f>IF(AND(問題解答データベース!D561&gt;=小テスト!$C$6,D561&lt;=小テスト!$E$6),1,0)</f>
        <v>1</v>
      </c>
      <c r="D561" s="44">
        <f t="shared" si="24"/>
        <v>560</v>
      </c>
      <c r="E561" s="45" t="s">
        <v>724</v>
      </c>
      <c r="F561" s="46" t="s">
        <v>2473</v>
      </c>
    </row>
    <row r="562" spans="1:6" ht="17">
      <c r="A562" s="15">
        <f t="shared" ca="1" si="22"/>
        <v>636</v>
      </c>
      <c r="B562" s="16">
        <f t="shared" ca="1" si="23"/>
        <v>0.66279952574561929</v>
      </c>
      <c r="C562" s="17">
        <f>IF(AND(問題解答データベース!D562&gt;=小テスト!$C$6,D562&lt;=小テスト!$E$6),1,0)</f>
        <v>1</v>
      </c>
      <c r="D562" s="44">
        <f t="shared" si="24"/>
        <v>561</v>
      </c>
      <c r="E562" s="45" t="s">
        <v>725</v>
      </c>
      <c r="F562" s="46" t="s">
        <v>2474</v>
      </c>
    </row>
    <row r="563" spans="1:6" ht="17">
      <c r="A563" s="15">
        <f t="shared" ca="1" si="22"/>
        <v>1776</v>
      </c>
      <c r="B563" s="16">
        <f t="shared" ca="1" si="23"/>
        <v>6.0777239324122045E-2</v>
      </c>
      <c r="C563" s="17">
        <f>IF(AND(問題解答データベース!D563&gt;=小テスト!$C$6,D563&lt;=小テスト!$E$6),1,0)</f>
        <v>1</v>
      </c>
      <c r="D563" s="44">
        <f t="shared" si="24"/>
        <v>562</v>
      </c>
      <c r="E563" s="45" t="s">
        <v>726</v>
      </c>
      <c r="F563" s="46" t="s">
        <v>2475</v>
      </c>
    </row>
    <row r="564" spans="1:6" ht="17">
      <c r="A564" s="15">
        <f t="shared" ca="1" si="22"/>
        <v>944</v>
      </c>
      <c r="B564" s="16">
        <f t="shared" ca="1" si="23"/>
        <v>0.50307377092960193</v>
      </c>
      <c r="C564" s="17">
        <f>IF(AND(問題解答データベース!D564&gt;=小テスト!$C$6,D564&lt;=小テスト!$E$6),1,0)</f>
        <v>1</v>
      </c>
      <c r="D564" s="44">
        <f t="shared" si="24"/>
        <v>563</v>
      </c>
      <c r="E564" s="45" t="s">
        <v>727</v>
      </c>
      <c r="F564" s="46" t="s">
        <v>2476</v>
      </c>
    </row>
    <row r="565" spans="1:6" ht="17">
      <c r="A565" s="15">
        <f t="shared" ca="1" si="22"/>
        <v>1538</v>
      </c>
      <c r="B565" s="16">
        <f t="shared" ca="1" si="23"/>
        <v>0.18547969036276335</v>
      </c>
      <c r="C565" s="17">
        <f>IF(AND(問題解答データベース!D565&gt;=小テスト!$C$6,D565&lt;=小テスト!$E$6),1,0)</f>
        <v>1</v>
      </c>
      <c r="D565" s="44">
        <f t="shared" si="24"/>
        <v>564</v>
      </c>
      <c r="E565" s="45" t="s">
        <v>728</v>
      </c>
      <c r="F565" s="46" t="s">
        <v>2477</v>
      </c>
    </row>
    <row r="566" spans="1:6" ht="17">
      <c r="A566" s="15">
        <f t="shared" ca="1" si="22"/>
        <v>503</v>
      </c>
      <c r="B566" s="16">
        <f t="shared" ca="1" si="23"/>
        <v>0.73968667491590956</v>
      </c>
      <c r="C566" s="17">
        <f>IF(AND(問題解答データベース!D566&gt;=小テスト!$C$6,D566&lt;=小テスト!$E$6),1,0)</f>
        <v>1</v>
      </c>
      <c r="D566" s="44">
        <f t="shared" si="24"/>
        <v>565</v>
      </c>
      <c r="E566" s="45" t="s">
        <v>729</v>
      </c>
      <c r="F566" s="46" t="s">
        <v>2478</v>
      </c>
    </row>
    <row r="567" spans="1:6" ht="17">
      <c r="A567" s="15">
        <f t="shared" ca="1" si="22"/>
        <v>1607</v>
      </c>
      <c r="B567" s="16">
        <f t="shared" ca="1" si="23"/>
        <v>0.15320967076452963</v>
      </c>
      <c r="C567" s="17">
        <f>IF(AND(問題解答データベース!D567&gt;=小テスト!$C$6,D567&lt;=小テスト!$E$6),1,0)</f>
        <v>1</v>
      </c>
      <c r="D567" s="44">
        <f t="shared" si="24"/>
        <v>566</v>
      </c>
      <c r="E567" s="45" t="s">
        <v>730</v>
      </c>
      <c r="F567" s="46" t="s">
        <v>2479</v>
      </c>
    </row>
    <row r="568" spans="1:6" ht="17">
      <c r="A568" s="15">
        <f t="shared" ca="1" si="22"/>
        <v>791</v>
      </c>
      <c r="B568" s="16">
        <f t="shared" ca="1" si="23"/>
        <v>0.57919886425706069</v>
      </c>
      <c r="C568" s="17">
        <f>IF(AND(問題解答データベース!D568&gt;=小テスト!$C$6,D568&lt;=小テスト!$E$6),1,0)</f>
        <v>1</v>
      </c>
      <c r="D568" s="44">
        <f t="shared" si="24"/>
        <v>567</v>
      </c>
      <c r="E568" s="45" t="s">
        <v>731</v>
      </c>
      <c r="F568" s="46" t="s">
        <v>2480</v>
      </c>
    </row>
    <row r="569" spans="1:6" ht="17">
      <c r="A569" s="15">
        <f t="shared" ca="1" si="22"/>
        <v>938</v>
      </c>
      <c r="B569" s="16">
        <f t="shared" ca="1" si="23"/>
        <v>0.50622898766845226</v>
      </c>
      <c r="C569" s="17">
        <f>IF(AND(問題解答データベース!D569&gt;=小テスト!$C$6,D569&lt;=小テスト!$E$6),1,0)</f>
        <v>1</v>
      </c>
      <c r="D569" s="44">
        <f t="shared" si="24"/>
        <v>568</v>
      </c>
      <c r="E569" s="45" t="s">
        <v>732</v>
      </c>
      <c r="F569" s="46" t="s">
        <v>2481</v>
      </c>
    </row>
    <row r="570" spans="1:6" ht="17">
      <c r="A570" s="15">
        <f t="shared" ca="1" si="22"/>
        <v>970</v>
      </c>
      <c r="B570" s="16">
        <f t="shared" ca="1" si="23"/>
        <v>0.49025477000147777</v>
      </c>
      <c r="C570" s="17">
        <f>IF(AND(問題解答データベース!D570&gt;=小テスト!$C$6,D570&lt;=小テスト!$E$6),1,0)</f>
        <v>1</v>
      </c>
      <c r="D570" s="44">
        <f t="shared" si="24"/>
        <v>569</v>
      </c>
      <c r="E570" s="45" t="s">
        <v>733</v>
      </c>
      <c r="F570" s="46" t="s">
        <v>2482</v>
      </c>
    </row>
    <row r="571" spans="1:6" ht="17">
      <c r="A571" s="15">
        <f t="shared" ca="1" si="22"/>
        <v>118</v>
      </c>
      <c r="B571" s="16">
        <f t="shared" ca="1" si="23"/>
        <v>0.94251486534218654</v>
      </c>
      <c r="C571" s="17">
        <f>IF(AND(問題解答データベース!D571&gt;=小テスト!$C$6,D571&lt;=小テスト!$E$6),1,0)</f>
        <v>1</v>
      </c>
      <c r="D571" s="44">
        <f t="shared" si="24"/>
        <v>570</v>
      </c>
      <c r="E571" s="45" t="s">
        <v>734</v>
      </c>
      <c r="F571" s="46" t="s">
        <v>2483</v>
      </c>
    </row>
    <row r="572" spans="1:6" ht="17">
      <c r="A572" s="15">
        <f t="shared" ca="1" si="22"/>
        <v>1385</v>
      </c>
      <c r="B572" s="16">
        <f t="shared" ca="1" si="23"/>
        <v>0.27204510713232888</v>
      </c>
      <c r="C572" s="17">
        <f>IF(AND(問題解答データベース!D572&gt;=小テスト!$C$6,D572&lt;=小テスト!$E$6),1,0)</f>
        <v>1</v>
      </c>
      <c r="D572" s="44">
        <f t="shared" si="24"/>
        <v>571</v>
      </c>
      <c r="E572" s="45" t="s">
        <v>735</v>
      </c>
      <c r="F572" s="46" t="s">
        <v>2484</v>
      </c>
    </row>
    <row r="573" spans="1:6" ht="17">
      <c r="A573" s="15">
        <f t="shared" ca="1" si="22"/>
        <v>634</v>
      </c>
      <c r="B573" s="16">
        <f t="shared" ca="1" si="23"/>
        <v>0.6637036274626904</v>
      </c>
      <c r="C573" s="17">
        <f>IF(AND(問題解答データベース!D573&gt;=小テスト!$C$6,D573&lt;=小テスト!$E$6),1,0)</f>
        <v>1</v>
      </c>
      <c r="D573" s="44">
        <f t="shared" si="24"/>
        <v>572</v>
      </c>
      <c r="E573" s="45" t="s">
        <v>736</v>
      </c>
      <c r="F573" s="46" t="s">
        <v>2485</v>
      </c>
    </row>
    <row r="574" spans="1:6" ht="17">
      <c r="A574" s="15">
        <f t="shared" ca="1" si="22"/>
        <v>1876</v>
      </c>
      <c r="B574" s="16">
        <f t="shared" ca="1" si="23"/>
        <v>1.2342144621633078E-2</v>
      </c>
      <c r="C574" s="17">
        <f>IF(AND(問題解答データベース!D574&gt;=小テスト!$C$6,D574&lt;=小テスト!$E$6),1,0)</f>
        <v>1</v>
      </c>
      <c r="D574" s="44">
        <f t="shared" si="24"/>
        <v>573</v>
      </c>
      <c r="E574" s="45" t="s">
        <v>737</v>
      </c>
      <c r="F574" s="46" t="s">
        <v>2486</v>
      </c>
    </row>
    <row r="575" spans="1:6" ht="17">
      <c r="A575" s="15">
        <f t="shared" ca="1" si="22"/>
        <v>1049</v>
      </c>
      <c r="B575" s="16">
        <f t="shared" ca="1" si="23"/>
        <v>0.45684525374409091</v>
      </c>
      <c r="C575" s="17">
        <f>IF(AND(問題解答データベース!D575&gt;=小テスト!$C$6,D575&lt;=小テスト!$E$6),1,0)</f>
        <v>1</v>
      </c>
      <c r="D575" s="44">
        <f t="shared" si="24"/>
        <v>574</v>
      </c>
      <c r="E575" s="45" t="s">
        <v>738</v>
      </c>
      <c r="F575" s="46" t="s">
        <v>2487</v>
      </c>
    </row>
    <row r="576" spans="1:6" ht="17">
      <c r="A576" s="15">
        <f t="shared" ca="1" si="22"/>
        <v>266</v>
      </c>
      <c r="B576" s="16">
        <f t="shared" ca="1" si="23"/>
        <v>0.86193740460574086</v>
      </c>
      <c r="C576" s="17">
        <f>IF(AND(問題解答データベース!D576&gt;=小テスト!$C$6,D576&lt;=小テスト!$E$6),1,0)</f>
        <v>1</v>
      </c>
      <c r="D576" s="44">
        <f t="shared" si="24"/>
        <v>575</v>
      </c>
      <c r="E576" s="45" t="s">
        <v>739</v>
      </c>
      <c r="F576" s="46" t="s">
        <v>2488</v>
      </c>
    </row>
    <row r="577" spans="1:6" ht="17">
      <c r="A577" s="15">
        <f t="shared" ca="1" si="22"/>
        <v>1042</v>
      </c>
      <c r="B577" s="16">
        <f t="shared" ca="1" si="23"/>
        <v>0.46000736956932797</v>
      </c>
      <c r="C577" s="17">
        <f>IF(AND(問題解答データベース!D577&gt;=小テスト!$C$6,D577&lt;=小テスト!$E$6),1,0)</f>
        <v>1</v>
      </c>
      <c r="D577" s="44">
        <f t="shared" si="24"/>
        <v>576</v>
      </c>
      <c r="E577" s="45" t="s">
        <v>740</v>
      </c>
      <c r="F577" s="46" t="s">
        <v>2489</v>
      </c>
    </row>
    <row r="578" spans="1:6" ht="17">
      <c r="A578" s="15">
        <f t="shared" ca="1" si="22"/>
        <v>558</v>
      </c>
      <c r="B578" s="16">
        <f t="shared" ca="1" si="23"/>
        <v>0.70958363330217489</v>
      </c>
      <c r="C578" s="17">
        <f>IF(AND(問題解答データベース!D578&gt;=小テスト!$C$6,D578&lt;=小テスト!$E$6),1,0)</f>
        <v>1</v>
      </c>
      <c r="D578" s="44">
        <f t="shared" si="24"/>
        <v>577</v>
      </c>
      <c r="E578" s="45" t="s">
        <v>741</v>
      </c>
      <c r="F578" s="46" t="s">
        <v>2490</v>
      </c>
    </row>
    <row r="579" spans="1:6" ht="17">
      <c r="A579" s="15">
        <f t="shared" ref="A579:A642" ca="1" si="25">RANK(B579,$B$2:$B$1901,0)</f>
        <v>1130</v>
      </c>
      <c r="B579" s="16">
        <f t="shared" ca="1" si="23"/>
        <v>0.40740154938879836</v>
      </c>
      <c r="C579" s="17">
        <f>IF(AND(問題解答データベース!D579&gt;=小テスト!$C$6,D579&lt;=小テスト!$E$6),1,0)</f>
        <v>1</v>
      </c>
      <c r="D579" s="44">
        <f t="shared" si="24"/>
        <v>578</v>
      </c>
      <c r="E579" s="45" t="s">
        <v>742</v>
      </c>
      <c r="F579" s="46" t="s">
        <v>2491</v>
      </c>
    </row>
    <row r="580" spans="1:6" ht="17">
      <c r="A580" s="15">
        <f t="shared" ca="1" si="25"/>
        <v>1491</v>
      </c>
      <c r="B580" s="16">
        <f t="shared" ca="1" si="23"/>
        <v>0.20583361643493436</v>
      </c>
      <c r="C580" s="17">
        <f>IF(AND(問題解答データベース!D580&gt;=小テスト!$C$6,D580&lt;=小テスト!$E$6),1,0)</f>
        <v>1</v>
      </c>
      <c r="D580" s="44">
        <f t="shared" si="24"/>
        <v>579</v>
      </c>
      <c r="E580" s="45" t="s">
        <v>743</v>
      </c>
      <c r="F580" s="46" t="s">
        <v>2492</v>
      </c>
    </row>
    <row r="581" spans="1:6" ht="17">
      <c r="A581" s="15">
        <f t="shared" ca="1" si="25"/>
        <v>1697</v>
      </c>
      <c r="B581" s="16">
        <f t="shared" ca="1" si="23"/>
        <v>0.10189035838183413</v>
      </c>
      <c r="C581" s="17">
        <f>IF(AND(問題解答データベース!D581&gt;=小テスト!$C$6,D581&lt;=小テスト!$E$6),1,0)</f>
        <v>1</v>
      </c>
      <c r="D581" s="44">
        <f t="shared" si="24"/>
        <v>580</v>
      </c>
      <c r="E581" s="45" t="s">
        <v>744</v>
      </c>
      <c r="F581" s="46" t="s">
        <v>2493</v>
      </c>
    </row>
    <row r="582" spans="1:6" ht="17">
      <c r="A582" s="15">
        <f t="shared" ca="1" si="25"/>
        <v>762</v>
      </c>
      <c r="B582" s="16">
        <f t="shared" ca="1" si="23"/>
        <v>0.59774892558036175</v>
      </c>
      <c r="C582" s="17">
        <f>IF(AND(問題解答データベース!D582&gt;=小テスト!$C$6,D582&lt;=小テスト!$E$6),1,0)</f>
        <v>1</v>
      </c>
      <c r="D582" s="44">
        <f t="shared" si="24"/>
        <v>581</v>
      </c>
      <c r="E582" s="45" t="s">
        <v>745</v>
      </c>
      <c r="F582" s="46" t="s">
        <v>2494</v>
      </c>
    </row>
    <row r="583" spans="1:6" ht="17">
      <c r="A583" s="15">
        <f t="shared" ca="1" si="25"/>
        <v>1848</v>
      </c>
      <c r="B583" s="16">
        <f t="shared" ca="1" si="23"/>
        <v>2.6423792012500447E-2</v>
      </c>
      <c r="C583" s="17">
        <f>IF(AND(問題解答データベース!D583&gt;=小テスト!$C$6,D583&lt;=小テスト!$E$6),1,0)</f>
        <v>1</v>
      </c>
      <c r="D583" s="44">
        <f t="shared" si="24"/>
        <v>582</v>
      </c>
      <c r="E583" s="45" t="s">
        <v>746</v>
      </c>
      <c r="F583" s="46" t="s">
        <v>2495</v>
      </c>
    </row>
    <row r="584" spans="1:6" ht="17">
      <c r="A584" s="15">
        <f t="shared" ca="1" si="25"/>
        <v>343</v>
      </c>
      <c r="B584" s="16">
        <f t="shared" ca="1" si="23"/>
        <v>0.81681289282517067</v>
      </c>
      <c r="C584" s="17">
        <f>IF(AND(問題解答データベース!D584&gt;=小テスト!$C$6,D584&lt;=小テスト!$E$6),1,0)</f>
        <v>1</v>
      </c>
      <c r="D584" s="44">
        <f t="shared" si="24"/>
        <v>583</v>
      </c>
      <c r="E584" s="45" t="s">
        <v>747</v>
      </c>
      <c r="F584" s="46" t="s">
        <v>2496</v>
      </c>
    </row>
    <row r="585" spans="1:6" ht="17">
      <c r="A585" s="15">
        <f t="shared" ca="1" si="25"/>
        <v>836</v>
      </c>
      <c r="B585" s="16">
        <f t="shared" ca="1" si="23"/>
        <v>0.55386681695021411</v>
      </c>
      <c r="C585" s="17">
        <f>IF(AND(問題解答データベース!D585&gt;=小テスト!$C$6,D585&lt;=小テスト!$E$6),1,0)</f>
        <v>1</v>
      </c>
      <c r="D585" s="44">
        <f t="shared" si="24"/>
        <v>584</v>
      </c>
      <c r="E585" s="45" t="s">
        <v>748</v>
      </c>
      <c r="F585" s="46" t="s">
        <v>2497</v>
      </c>
    </row>
    <row r="586" spans="1:6" ht="17">
      <c r="A586" s="15">
        <f t="shared" ca="1" si="25"/>
        <v>1754</v>
      </c>
      <c r="B586" s="16">
        <f t="shared" ref="B586:B649" ca="1" si="26">IF(C586=1,RAND(),0)</f>
        <v>7.1883977986269221E-2</v>
      </c>
      <c r="C586" s="17">
        <f>IF(AND(問題解答データベース!D586&gt;=小テスト!$C$6,D586&lt;=小テスト!$E$6),1,0)</f>
        <v>1</v>
      </c>
      <c r="D586" s="44">
        <f t="shared" si="24"/>
        <v>585</v>
      </c>
      <c r="E586" s="45" t="s">
        <v>749</v>
      </c>
      <c r="F586" s="46" t="s">
        <v>2498</v>
      </c>
    </row>
    <row r="587" spans="1:6" ht="17">
      <c r="A587" s="15">
        <f t="shared" ca="1" si="25"/>
        <v>1450</v>
      </c>
      <c r="B587" s="16">
        <f t="shared" ca="1" si="26"/>
        <v>0.23491602801013678</v>
      </c>
      <c r="C587" s="17">
        <f>IF(AND(問題解答データベース!D587&gt;=小テスト!$C$6,D587&lt;=小テスト!$E$6),1,0)</f>
        <v>1</v>
      </c>
      <c r="D587" s="44">
        <f t="shared" si="24"/>
        <v>586</v>
      </c>
      <c r="E587" s="45" t="s">
        <v>750</v>
      </c>
      <c r="F587" s="46" t="s">
        <v>2499</v>
      </c>
    </row>
    <row r="588" spans="1:6" ht="17">
      <c r="A588" s="15">
        <f t="shared" ca="1" si="25"/>
        <v>669</v>
      </c>
      <c r="B588" s="16">
        <f t="shared" ca="1" si="26"/>
        <v>0.64987554366979838</v>
      </c>
      <c r="C588" s="17">
        <f>IF(AND(問題解答データベース!D588&gt;=小テスト!$C$6,D588&lt;=小テスト!$E$6),1,0)</f>
        <v>1</v>
      </c>
      <c r="D588" s="44">
        <f t="shared" si="24"/>
        <v>587</v>
      </c>
      <c r="E588" s="45" t="s">
        <v>751</v>
      </c>
      <c r="F588" s="46" t="s">
        <v>2500</v>
      </c>
    </row>
    <row r="589" spans="1:6" ht="17">
      <c r="A589" s="15">
        <f t="shared" ca="1" si="25"/>
        <v>187</v>
      </c>
      <c r="B589" s="16">
        <f t="shared" ca="1" si="26"/>
        <v>0.91011637862733163</v>
      </c>
      <c r="C589" s="17">
        <f>IF(AND(問題解答データベース!D589&gt;=小テスト!$C$6,D589&lt;=小テスト!$E$6),1,0)</f>
        <v>1</v>
      </c>
      <c r="D589" s="44">
        <f t="shared" ref="D589:D652" si="27">D588+1</f>
        <v>588</v>
      </c>
      <c r="E589" s="45" t="s">
        <v>752</v>
      </c>
      <c r="F589" s="46" t="s">
        <v>2501</v>
      </c>
    </row>
    <row r="590" spans="1:6" ht="17">
      <c r="A590" s="15">
        <f t="shared" ca="1" si="25"/>
        <v>426</v>
      </c>
      <c r="B590" s="16">
        <f t="shared" ca="1" si="26"/>
        <v>0.77311693037721341</v>
      </c>
      <c r="C590" s="17">
        <f>IF(AND(問題解答データベース!D590&gt;=小テスト!$C$6,D590&lt;=小テスト!$E$6),1,0)</f>
        <v>1</v>
      </c>
      <c r="D590" s="44">
        <f t="shared" si="27"/>
        <v>589</v>
      </c>
      <c r="E590" s="45" t="s">
        <v>753</v>
      </c>
      <c r="F590" s="46" t="s">
        <v>2502</v>
      </c>
    </row>
    <row r="591" spans="1:6" ht="17">
      <c r="A591" s="15">
        <f t="shared" ca="1" si="25"/>
        <v>1678</v>
      </c>
      <c r="B591" s="16">
        <f t="shared" ca="1" si="26"/>
        <v>0.11243931500954718</v>
      </c>
      <c r="C591" s="17">
        <f>IF(AND(問題解答データベース!D591&gt;=小テスト!$C$6,D591&lt;=小テスト!$E$6),1,0)</f>
        <v>1</v>
      </c>
      <c r="D591" s="44">
        <f t="shared" si="27"/>
        <v>590</v>
      </c>
      <c r="E591" s="45" t="s">
        <v>754</v>
      </c>
      <c r="F591" s="46" t="s">
        <v>2503</v>
      </c>
    </row>
    <row r="592" spans="1:6" ht="17">
      <c r="A592" s="15">
        <f t="shared" ca="1" si="25"/>
        <v>981</v>
      </c>
      <c r="B592" s="16">
        <f t="shared" ca="1" si="26"/>
        <v>0.48627370787123869</v>
      </c>
      <c r="C592" s="17">
        <f>IF(AND(問題解答データベース!D592&gt;=小テスト!$C$6,D592&lt;=小テスト!$E$6),1,0)</f>
        <v>1</v>
      </c>
      <c r="D592" s="44">
        <f t="shared" si="27"/>
        <v>591</v>
      </c>
      <c r="E592" s="45" t="s">
        <v>755</v>
      </c>
      <c r="F592" s="46" t="s">
        <v>2504</v>
      </c>
    </row>
    <row r="593" spans="1:6" ht="17">
      <c r="A593" s="15">
        <f t="shared" ca="1" si="25"/>
        <v>1397</v>
      </c>
      <c r="B593" s="16">
        <f t="shared" ca="1" si="26"/>
        <v>0.26702894323397031</v>
      </c>
      <c r="C593" s="17">
        <f>IF(AND(問題解答データベース!D593&gt;=小テスト!$C$6,D593&lt;=小テスト!$E$6),1,0)</f>
        <v>1</v>
      </c>
      <c r="D593" s="44">
        <f t="shared" si="27"/>
        <v>592</v>
      </c>
      <c r="E593" s="45" t="s">
        <v>756</v>
      </c>
      <c r="F593" s="46" t="s">
        <v>2505</v>
      </c>
    </row>
    <row r="594" spans="1:6" ht="17">
      <c r="A594" s="15">
        <f t="shared" ca="1" si="25"/>
        <v>1338</v>
      </c>
      <c r="B594" s="16">
        <f t="shared" ca="1" si="26"/>
        <v>0.29831791892876325</v>
      </c>
      <c r="C594" s="17">
        <f>IF(AND(問題解答データベース!D594&gt;=小テスト!$C$6,D594&lt;=小テスト!$E$6),1,0)</f>
        <v>1</v>
      </c>
      <c r="D594" s="44">
        <f t="shared" si="27"/>
        <v>593</v>
      </c>
      <c r="E594" s="45" t="s">
        <v>757</v>
      </c>
      <c r="F594" s="46" t="s">
        <v>2506</v>
      </c>
    </row>
    <row r="595" spans="1:6" ht="17">
      <c r="A595" s="15">
        <f t="shared" ca="1" si="25"/>
        <v>1790</v>
      </c>
      <c r="B595" s="16">
        <f t="shared" ca="1" si="26"/>
        <v>5.3325632141997814E-2</v>
      </c>
      <c r="C595" s="17">
        <f>IF(AND(問題解答データベース!D595&gt;=小テスト!$C$6,D595&lt;=小テスト!$E$6),1,0)</f>
        <v>1</v>
      </c>
      <c r="D595" s="44">
        <f t="shared" si="27"/>
        <v>594</v>
      </c>
      <c r="E595" s="45" t="s">
        <v>758</v>
      </c>
      <c r="F595" s="46" t="s">
        <v>2507</v>
      </c>
    </row>
    <row r="596" spans="1:6" ht="17">
      <c r="A596" s="15">
        <f t="shared" ca="1" si="25"/>
        <v>435</v>
      </c>
      <c r="B596" s="16">
        <f t="shared" ca="1" si="26"/>
        <v>0.76848020483214019</v>
      </c>
      <c r="C596" s="17">
        <f>IF(AND(問題解答データベース!D596&gt;=小テスト!$C$6,D596&lt;=小テスト!$E$6),1,0)</f>
        <v>1</v>
      </c>
      <c r="D596" s="44">
        <f t="shared" si="27"/>
        <v>595</v>
      </c>
      <c r="E596" s="45" t="s">
        <v>759</v>
      </c>
      <c r="F596" s="46" t="s">
        <v>2508</v>
      </c>
    </row>
    <row r="597" spans="1:6" ht="17">
      <c r="A597" s="15">
        <f t="shared" ca="1" si="25"/>
        <v>1758</v>
      </c>
      <c r="B597" s="16">
        <f t="shared" ca="1" si="26"/>
        <v>6.8898769099116075E-2</v>
      </c>
      <c r="C597" s="17">
        <f>IF(AND(問題解答データベース!D597&gt;=小テスト!$C$6,D597&lt;=小テスト!$E$6),1,0)</f>
        <v>1</v>
      </c>
      <c r="D597" s="44">
        <f t="shared" si="27"/>
        <v>596</v>
      </c>
      <c r="E597" s="45" t="s">
        <v>760</v>
      </c>
      <c r="F597" s="46" t="s">
        <v>2509</v>
      </c>
    </row>
    <row r="598" spans="1:6" ht="17">
      <c r="A598" s="15">
        <f t="shared" ca="1" si="25"/>
        <v>1653</v>
      </c>
      <c r="B598" s="16">
        <f t="shared" ca="1" si="26"/>
        <v>0.12656272478275643</v>
      </c>
      <c r="C598" s="17">
        <f>IF(AND(問題解答データベース!D598&gt;=小テスト!$C$6,D598&lt;=小テスト!$E$6),1,0)</f>
        <v>1</v>
      </c>
      <c r="D598" s="44">
        <f t="shared" si="27"/>
        <v>597</v>
      </c>
      <c r="E598" s="45" t="s">
        <v>761</v>
      </c>
      <c r="F598" s="46" t="s">
        <v>2510</v>
      </c>
    </row>
    <row r="599" spans="1:6" ht="17">
      <c r="A599" s="15">
        <f t="shared" ca="1" si="25"/>
        <v>769</v>
      </c>
      <c r="B599" s="16">
        <f t="shared" ca="1" si="26"/>
        <v>0.59486417935272484</v>
      </c>
      <c r="C599" s="17">
        <f>IF(AND(問題解答データベース!D599&gt;=小テスト!$C$6,D599&lt;=小テスト!$E$6),1,0)</f>
        <v>1</v>
      </c>
      <c r="D599" s="44">
        <f t="shared" si="27"/>
        <v>598</v>
      </c>
      <c r="E599" s="45" t="s">
        <v>762</v>
      </c>
      <c r="F599" s="46" t="s">
        <v>2511</v>
      </c>
    </row>
    <row r="600" spans="1:6" ht="17">
      <c r="A600" s="15">
        <f t="shared" ca="1" si="25"/>
        <v>32</v>
      </c>
      <c r="B600" s="16">
        <f t="shared" ca="1" si="26"/>
        <v>0.98179765069806746</v>
      </c>
      <c r="C600" s="17">
        <f>IF(AND(問題解答データベース!D600&gt;=小テスト!$C$6,D600&lt;=小テスト!$E$6),1,0)</f>
        <v>1</v>
      </c>
      <c r="D600" s="44">
        <f t="shared" si="27"/>
        <v>599</v>
      </c>
      <c r="E600" s="45" t="s">
        <v>763</v>
      </c>
      <c r="F600" s="46" t="s">
        <v>2512</v>
      </c>
    </row>
    <row r="601" spans="1:6" ht="17">
      <c r="A601" s="15">
        <f t="shared" ca="1" si="25"/>
        <v>242</v>
      </c>
      <c r="B601" s="16">
        <f t="shared" ca="1" si="26"/>
        <v>0.87357378653161544</v>
      </c>
      <c r="C601" s="17">
        <f>IF(AND(問題解答データベース!D601&gt;=小テスト!$C$6,D601&lt;=小テスト!$E$6),1,0)</f>
        <v>1</v>
      </c>
      <c r="D601" s="44">
        <f t="shared" si="27"/>
        <v>600</v>
      </c>
      <c r="E601" s="45" t="s">
        <v>764</v>
      </c>
      <c r="F601" s="46" t="s">
        <v>2513</v>
      </c>
    </row>
    <row r="602" spans="1:6" ht="17">
      <c r="A602" s="15">
        <f t="shared" ca="1" si="25"/>
        <v>1629</v>
      </c>
      <c r="B602" s="16">
        <f t="shared" ca="1" si="26"/>
        <v>0.13979950244729167</v>
      </c>
      <c r="C602" s="17">
        <f>IF(AND(問題解答データベース!D602&gt;=小テスト!$C$6,D602&lt;=小テスト!$E$6),1,0)</f>
        <v>1</v>
      </c>
      <c r="D602" s="44">
        <f t="shared" si="27"/>
        <v>601</v>
      </c>
      <c r="E602" s="45" t="s">
        <v>765</v>
      </c>
      <c r="F602" s="46" t="s">
        <v>2514</v>
      </c>
    </row>
    <row r="603" spans="1:6" ht="17">
      <c r="A603" s="15">
        <f t="shared" ca="1" si="25"/>
        <v>1825</v>
      </c>
      <c r="B603" s="16">
        <f t="shared" ca="1" si="26"/>
        <v>3.6923159681660267E-2</v>
      </c>
      <c r="C603" s="17">
        <f>IF(AND(問題解答データベース!D603&gt;=小テスト!$C$6,D603&lt;=小テスト!$E$6),1,0)</f>
        <v>1</v>
      </c>
      <c r="D603" s="44">
        <f t="shared" si="27"/>
        <v>602</v>
      </c>
      <c r="E603" s="45" t="s">
        <v>766</v>
      </c>
      <c r="F603" s="46" t="s">
        <v>2515</v>
      </c>
    </row>
    <row r="604" spans="1:6" ht="17">
      <c r="A604" s="15">
        <f t="shared" ca="1" si="25"/>
        <v>1743</v>
      </c>
      <c r="B604" s="16">
        <f t="shared" ca="1" si="26"/>
        <v>7.8404510740912481E-2</v>
      </c>
      <c r="C604" s="17">
        <f>IF(AND(問題解答データベース!D604&gt;=小テスト!$C$6,D604&lt;=小テスト!$E$6),1,0)</f>
        <v>1</v>
      </c>
      <c r="D604" s="44">
        <f t="shared" si="27"/>
        <v>603</v>
      </c>
      <c r="E604" s="45" t="s">
        <v>767</v>
      </c>
      <c r="F604" s="46" t="s">
        <v>2516</v>
      </c>
    </row>
    <row r="605" spans="1:6" ht="17">
      <c r="A605" s="15">
        <f t="shared" ca="1" si="25"/>
        <v>1177</v>
      </c>
      <c r="B605" s="16">
        <f t="shared" ca="1" si="26"/>
        <v>0.37917312200699371</v>
      </c>
      <c r="C605" s="17">
        <f>IF(AND(問題解答データベース!D605&gt;=小テスト!$C$6,D605&lt;=小テスト!$E$6),1,0)</f>
        <v>1</v>
      </c>
      <c r="D605" s="44">
        <f t="shared" si="27"/>
        <v>604</v>
      </c>
      <c r="E605" s="45" t="s">
        <v>768</v>
      </c>
      <c r="F605" s="46" t="s">
        <v>2517</v>
      </c>
    </row>
    <row r="606" spans="1:6" ht="17">
      <c r="A606" s="15">
        <f t="shared" ca="1" si="25"/>
        <v>1772</v>
      </c>
      <c r="B606" s="16">
        <f t="shared" ca="1" si="26"/>
        <v>6.3519959468342324E-2</v>
      </c>
      <c r="C606" s="17">
        <f>IF(AND(問題解答データベース!D606&gt;=小テスト!$C$6,D606&lt;=小テスト!$E$6),1,0)</f>
        <v>1</v>
      </c>
      <c r="D606" s="44">
        <f t="shared" si="27"/>
        <v>605</v>
      </c>
      <c r="E606" s="45" t="s">
        <v>769</v>
      </c>
      <c r="F606" s="46" t="s">
        <v>2518</v>
      </c>
    </row>
    <row r="607" spans="1:6" ht="17">
      <c r="A607" s="15">
        <f t="shared" ca="1" si="25"/>
        <v>576</v>
      </c>
      <c r="B607" s="16">
        <f t="shared" ca="1" si="26"/>
        <v>0.70039618191403308</v>
      </c>
      <c r="C607" s="17">
        <f>IF(AND(問題解答データベース!D607&gt;=小テスト!$C$6,D607&lt;=小テスト!$E$6),1,0)</f>
        <v>1</v>
      </c>
      <c r="D607" s="44">
        <f t="shared" si="27"/>
        <v>606</v>
      </c>
      <c r="E607" s="45" t="s">
        <v>770</v>
      </c>
      <c r="F607" s="46" t="s">
        <v>2519</v>
      </c>
    </row>
    <row r="608" spans="1:6" ht="17">
      <c r="A608" s="15">
        <f t="shared" ca="1" si="25"/>
        <v>356</v>
      </c>
      <c r="B608" s="16">
        <f t="shared" ca="1" si="26"/>
        <v>0.80854844646944746</v>
      </c>
      <c r="C608" s="17">
        <f>IF(AND(問題解答データベース!D608&gt;=小テスト!$C$6,D608&lt;=小テスト!$E$6),1,0)</f>
        <v>1</v>
      </c>
      <c r="D608" s="44">
        <f t="shared" si="27"/>
        <v>607</v>
      </c>
      <c r="E608" s="45" t="s">
        <v>771</v>
      </c>
      <c r="F608" s="46" t="s">
        <v>2520</v>
      </c>
    </row>
    <row r="609" spans="1:6" ht="17">
      <c r="A609" s="15">
        <f t="shared" ca="1" si="25"/>
        <v>704</v>
      </c>
      <c r="B609" s="16">
        <f t="shared" ca="1" si="26"/>
        <v>0.62499500084885729</v>
      </c>
      <c r="C609" s="17">
        <f>IF(AND(問題解答データベース!D609&gt;=小テスト!$C$6,D609&lt;=小テスト!$E$6),1,0)</f>
        <v>1</v>
      </c>
      <c r="D609" s="44">
        <f t="shared" si="27"/>
        <v>608</v>
      </c>
      <c r="E609" s="45" t="s">
        <v>772</v>
      </c>
      <c r="F609" s="46" t="s">
        <v>2521</v>
      </c>
    </row>
    <row r="610" spans="1:6" ht="17">
      <c r="A610" s="15">
        <f t="shared" ca="1" si="25"/>
        <v>1269</v>
      </c>
      <c r="B610" s="16">
        <f t="shared" ca="1" si="26"/>
        <v>0.34035399171450365</v>
      </c>
      <c r="C610" s="17">
        <f>IF(AND(問題解答データベース!D610&gt;=小テスト!$C$6,D610&lt;=小テスト!$E$6),1,0)</f>
        <v>1</v>
      </c>
      <c r="D610" s="44">
        <f t="shared" si="27"/>
        <v>609</v>
      </c>
      <c r="E610" s="45" t="s">
        <v>773</v>
      </c>
      <c r="F610" s="46" t="s">
        <v>2522</v>
      </c>
    </row>
    <row r="611" spans="1:6" ht="17">
      <c r="A611" s="15">
        <f t="shared" ca="1" si="25"/>
        <v>220</v>
      </c>
      <c r="B611" s="16">
        <f t="shared" ca="1" si="26"/>
        <v>0.89142942349832643</v>
      </c>
      <c r="C611" s="17">
        <f>IF(AND(問題解答データベース!D611&gt;=小テスト!$C$6,D611&lt;=小テスト!$E$6),1,0)</f>
        <v>1</v>
      </c>
      <c r="D611" s="44">
        <f t="shared" si="27"/>
        <v>610</v>
      </c>
      <c r="E611" s="45" t="s">
        <v>774</v>
      </c>
      <c r="F611" s="46" t="s">
        <v>2523</v>
      </c>
    </row>
    <row r="612" spans="1:6" ht="17">
      <c r="A612" s="15">
        <f t="shared" ca="1" si="25"/>
        <v>1213</v>
      </c>
      <c r="B612" s="16">
        <f t="shared" ca="1" si="26"/>
        <v>0.36446160930714544</v>
      </c>
      <c r="C612" s="17">
        <f>IF(AND(問題解答データベース!D612&gt;=小テスト!$C$6,D612&lt;=小テスト!$E$6),1,0)</f>
        <v>1</v>
      </c>
      <c r="D612" s="44">
        <f t="shared" si="27"/>
        <v>611</v>
      </c>
      <c r="E612" s="45" t="s">
        <v>775</v>
      </c>
      <c r="F612" s="46" t="s">
        <v>2524</v>
      </c>
    </row>
    <row r="613" spans="1:6" ht="17">
      <c r="A613" s="15">
        <f t="shared" ca="1" si="25"/>
        <v>698</v>
      </c>
      <c r="B613" s="16">
        <f t="shared" ca="1" si="26"/>
        <v>0.62787951861358238</v>
      </c>
      <c r="C613" s="17">
        <f>IF(AND(問題解答データベース!D613&gt;=小テスト!$C$6,D613&lt;=小テスト!$E$6),1,0)</f>
        <v>1</v>
      </c>
      <c r="D613" s="44">
        <f t="shared" si="27"/>
        <v>612</v>
      </c>
      <c r="E613" s="45" t="s">
        <v>776</v>
      </c>
      <c r="F613" s="46" t="s">
        <v>2525</v>
      </c>
    </row>
    <row r="614" spans="1:6" ht="17">
      <c r="A614" s="15">
        <f t="shared" ca="1" si="25"/>
        <v>1215</v>
      </c>
      <c r="B614" s="16">
        <f t="shared" ca="1" si="26"/>
        <v>0.36425746479400534</v>
      </c>
      <c r="C614" s="17">
        <f>IF(AND(問題解答データベース!D614&gt;=小テスト!$C$6,D614&lt;=小テスト!$E$6),1,0)</f>
        <v>1</v>
      </c>
      <c r="D614" s="44">
        <f t="shared" si="27"/>
        <v>613</v>
      </c>
      <c r="E614" s="45" t="s">
        <v>777</v>
      </c>
      <c r="F614" s="46" t="s">
        <v>2526</v>
      </c>
    </row>
    <row r="615" spans="1:6" ht="17">
      <c r="A615" s="15">
        <f t="shared" ca="1" si="25"/>
        <v>767</v>
      </c>
      <c r="B615" s="16">
        <f t="shared" ca="1" si="26"/>
        <v>0.59499708960921249</v>
      </c>
      <c r="C615" s="17">
        <f>IF(AND(問題解答データベース!D615&gt;=小テスト!$C$6,D615&lt;=小テスト!$E$6),1,0)</f>
        <v>1</v>
      </c>
      <c r="D615" s="44">
        <f t="shared" si="27"/>
        <v>614</v>
      </c>
      <c r="E615" s="45" t="s">
        <v>778</v>
      </c>
      <c r="F615" s="46" t="s">
        <v>2527</v>
      </c>
    </row>
    <row r="616" spans="1:6" ht="17">
      <c r="A616" s="15">
        <f t="shared" ca="1" si="25"/>
        <v>1647</v>
      </c>
      <c r="B616" s="16">
        <f t="shared" ca="1" si="26"/>
        <v>0.12862221173013799</v>
      </c>
      <c r="C616" s="17">
        <f>IF(AND(問題解答データベース!D616&gt;=小テスト!$C$6,D616&lt;=小テスト!$E$6),1,0)</f>
        <v>1</v>
      </c>
      <c r="D616" s="44">
        <f t="shared" si="27"/>
        <v>615</v>
      </c>
      <c r="E616" s="45" t="s">
        <v>779</v>
      </c>
      <c r="F616" s="46" t="s">
        <v>2528</v>
      </c>
    </row>
    <row r="617" spans="1:6" ht="17">
      <c r="A617" s="15">
        <f t="shared" ca="1" si="25"/>
        <v>1109</v>
      </c>
      <c r="B617" s="16">
        <f t="shared" ca="1" si="26"/>
        <v>0.41893579619087651</v>
      </c>
      <c r="C617" s="17">
        <f>IF(AND(問題解答データベース!D617&gt;=小テスト!$C$6,D617&lt;=小テスト!$E$6),1,0)</f>
        <v>1</v>
      </c>
      <c r="D617" s="44">
        <f t="shared" si="27"/>
        <v>616</v>
      </c>
      <c r="E617" s="45" t="s">
        <v>780</v>
      </c>
      <c r="F617" s="46" t="s">
        <v>2529</v>
      </c>
    </row>
    <row r="618" spans="1:6" ht="17">
      <c r="A618" s="15">
        <f t="shared" ca="1" si="25"/>
        <v>863</v>
      </c>
      <c r="B618" s="16">
        <f t="shared" ca="1" si="26"/>
        <v>0.54037192059026651</v>
      </c>
      <c r="C618" s="17">
        <f>IF(AND(問題解答データベース!D618&gt;=小テスト!$C$6,D618&lt;=小テスト!$E$6),1,0)</f>
        <v>1</v>
      </c>
      <c r="D618" s="44">
        <f t="shared" si="27"/>
        <v>617</v>
      </c>
      <c r="E618" s="45" t="s">
        <v>781</v>
      </c>
      <c r="F618" s="46" t="s">
        <v>2530</v>
      </c>
    </row>
    <row r="619" spans="1:6" ht="17">
      <c r="A619" s="15">
        <f t="shared" ca="1" si="25"/>
        <v>659</v>
      </c>
      <c r="B619" s="16">
        <f t="shared" ca="1" si="26"/>
        <v>0.65425630890938513</v>
      </c>
      <c r="C619" s="17">
        <f>IF(AND(問題解答データベース!D619&gt;=小テスト!$C$6,D619&lt;=小テスト!$E$6),1,0)</f>
        <v>1</v>
      </c>
      <c r="D619" s="44">
        <f t="shared" si="27"/>
        <v>618</v>
      </c>
      <c r="E619" s="45" t="s">
        <v>782</v>
      </c>
      <c r="F619" s="46" t="s">
        <v>2531</v>
      </c>
    </row>
    <row r="620" spans="1:6" ht="17">
      <c r="A620" s="15">
        <f t="shared" ca="1" si="25"/>
        <v>1858</v>
      </c>
      <c r="B620" s="16">
        <f t="shared" ca="1" si="26"/>
        <v>1.9255289924465346E-2</v>
      </c>
      <c r="C620" s="17">
        <f>IF(AND(問題解答データベース!D620&gt;=小テスト!$C$6,D620&lt;=小テスト!$E$6),1,0)</f>
        <v>1</v>
      </c>
      <c r="D620" s="44">
        <f t="shared" si="27"/>
        <v>619</v>
      </c>
      <c r="E620" s="45" t="s">
        <v>783</v>
      </c>
      <c r="F620" s="46" t="s">
        <v>2532</v>
      </c>
    </row>
    <row r="621" spans="1:6" ht="17">
      <c r="A621" s="15">
        <f t="shared" ca="1" si="25"/>
        <v>808</v>
      </c>
      <c r="B621" s="16">
        <f t="shared" ca="1" si="26"/>
        <v>0.57378825936593281</v>
      </c>
      <c r="C621" s="17">
        <f>IF(AND(問題解答データベース!D621&gt;=小テスト!$C$6,D621&lt;=小テスト!$E$6),1,0)</f>
        <v>1</v>
      </c>
      <c r="D621" s="44">
        <f t="shared" si="27"/>
        <v>620</v>
      </c>
      <c r="E621" s="45" t="s">
        <v>784</v>
      </c>
      <c r="F621" s="46" t="s">
        <v>2533</v>
      </c>
    </row>
    <row r="622" spans="1:6" ht="17">
      <c r="A622" s="15">
        <f t="shared" ca="1" si="25"/>
        <v>991</v>
      </c>
      <c r="B622" s="16">
        <f t="shared" ca="1" si="26"/>
        <v>0.48160401078923665</v>
      </c>
      <c r="C622" s="17">
        <f>IF(AND(問題解答データベース!D622&gt;=小テスト!$C$6,D622&lt;=小テスト!$E$6),1,0)</f>
        <v>1</v>
      </c>
      <c r="D622" s="44">
        <f t="shared" si="27"/>
        <v>621</v>
      </c>
      <c r="E622" s="45" t="s">
        <v>785</v>
      </c>
      <c r="F622" s="46" t="s">
        <v>2534</v>
      </c>
    </row>
    <row r="623" spans="1:6" ht="17">
      <c r="A623" s="15">
        <f t="shared" ca="1" si="25"/>
        <v>1687</v>
      </c>
      <c r="B623" s="16">
        <f t="shared" ca="1" si="26"/>
        <v>0.10910743823065794</v>
      </c>
      <c r="C623" s="17">
        <f>IF(AND(問題解答データベース!D623&gt;=小テスト!$C$6,D623&lt;=小テスト!$E$6),1,0)</f>
        <v>1</v>
      </c>
      <c r="D623" s="44">
        <f t="shared" si="27"/>
        <v>622</v>
      </c>
      <c r="E623" s="45" t="s">
        <v>786</v>
      </c>
      <c r="F623" s="46" t="s">
        <v>2535</v>
      </c>
    </row>
    <row r="624" spans="1:6" ht="17">
      <c r="A624" s="15">
        <f t="shared" ca="1" si="25"/>
        <v>1690</v>
      </c>
      <c r="B624" s="16">
        <f t="shared" ca="1" si="26"/>
        <v>0.10683062305470248</v>
      </c>
      <c r="C624" s="17">
        <f>IF(AND(問題解答データベース!D624&gt;=小テスト!$C$6,D624&lt;=小テスト!$E$6),1,0)</f>
        <v>1</v>
      </c>
      <c r="D624" s="44">
        <f t="shared" si="27"/>
        <v>623</v>
      </c>
      <c r="E624" s="45" t="s">
        <v>787</v>
      </c>
      <c r="F624" s="46" t="s">
        <v>2536</v>
      </c>
    </row>
    <row r="625" spans="1:6" ht="17">
      <c r="A625" s="15">
        <f t="shared" ca="1" si="25"/>
        <v>958</v>
      </c>
      <c r="B625" s="16">
        <f t="shared" ca="1" si="26"/>
        <v>0.49473962492734636</v>
      </c>
      <c r="C625" s="17">
        <f>IF(AND(問題解答データベース!D625&gt;=小テスト!$C$6,D625&lt;=小テスト!$E$6),1,0)</f>
        <v>1</v>
      </c>
      <c r="D625" s="44">
        <f t="shared" si="27"/>
        <v>624</v>
      </c>
      <c r="E625" s="45" t="s">
        <v>788</v>
      </c>
      <c r="F625" s="46" t="s">
        <v>2537</v>
      </c>
    </row>
    <row r="626" spans="1:6" ht="17">
      <c r="A626" s="15">
        <f t="shared" ca="1" si="25"/>
        <v>1319</v>
      </c>
      <c r="B626" s="16">
        <f t="shared" ca="1" si="26"/>
        <v>0.30862876722178512</v>
      </c>
      <c r="C626" s="17">
        <f>IF(AND(問題解答データベース!D626&gt;=小テスト!$C$6,D626&lt;=小テスト!$E$6),1,0)</f>
        <v>1</v>
      </c>
      <c r="D626" s="44">
        <f t="shared" si="27"/>
        <v>625</v>
      </c>
      <c r="E626" s="45" t="s">
        <v>789</v>
      </c>
      <c r="F626" s="46" t="s">
        <v>2538</v>
      </c>
    </row>
    <row r="627" spans="1:6" ht="17">
      <c r="A627" s="15">
        <f t="shared" ca="1" si="25"/>
        <v>1396</v>
      </c>
      <c r="B627" s="16">
        <f t="shared" ca="1" si="26"/>
        <v>0.26782255318974391</v>
      </c>
      <c r="C627" s="17">
        <f>IF(AND(問題解答データベース!D627&gt;=小テスト!$C$6,D627&lt;=小テスト!$E$6),1,0)</f>
        <v>1</v>
      </c>
      <c r="D627" s="44">
        <f t="shared" si="27"/>
        <v>626</v>
      </c>
      <c r="E627" s="45" t="s">
        <v>790</v>
      </c>
      <c r="F627" s="46" t="s">
        <v>2539</v>
      </c>
    </row>
    <row r="628" spans="1:6" ht="17">
      <c r="A628" s="15">
        <f t="shared" ca="1" si="25"/>
        <v>1880</v>
      </c>
      <c r="B628" s="16">
        <f t="shared" ca="1" si="26"/>
        <v>1.0326647345000772E-2</v>
      </c>
      <c r="C628" s="17">
        <f>IF(AND(問題解答データベース!D628&gt;=小テスト!$C$6,D628&lt;=小テスト!$E$6),1,0)</f>
        <v>1</v>
      </c>
      <c r="D628" s="44">
        <f t="shared" si="27"/>
        <v>627</v>
      </c>
      <c r="E628" s="45" t="s">
        <v>791</v>
      </c>
      <c r="F628" s="46" t="s">
        <v>2540</v>
      </c>
    </row>
    <row r="629" spans="1:6" ht="17">
      <c r="A629" s="15">
        <f t="shared" ca="1" si="25"/>
        <v>868</v>
      </c>
      <c r="B629" s="16">
        <f t="shared" ca="1" si="26"/>
        <v>0.53745312455209115</v>
      </c>
      <c r="C629" s="17">
        <f>IF(AND(問題解答データベース!D629&gt;=小テスト!$C$6,D629&lt;=小テスト!$E$6),1,0)</f>
        <v>1</v>
      </c>
      <c r="D629" s="44">
        <f t="shared" si="27"/>
        <v>628</v>
      </c>
      <c r="E629" s="45" t="s">
        <v>792</v>
      </c>
      <c r="F629" s="46" t="s">
        <v>2541</v>
      </c>
    </row>
    <row r="630" spans="1:6" ht="17">
      <c r="A630" s="15">
        <f t="shared" ca="1" si="25"/>
        <v>66</v>
      </c>
      <c r="B630" s="16">
        <f t="shared" ca="1" si="26"/>
        <v>0.96677669151931089</v>
      </c>
      <c r="C630" s="17">
        <f>IF(AND(問題解答データベース!D630&gt;=小テスト!$C$6,D630&lt;=小テスト!$E$6),1,0)</f>
        <v>1</v>
      </c>
      <c r="D630" s="44">
        <f t="shared" si="27"/>
        <v>629</v>
      </c>
      <c r="E630" s="45" t="s">
        <v>793</v>
      </c>
      <c r="F630" s="46" t="s">
        <v>2542</v>
      </c>
    </row>
    <row r="631" spans="1:6" ht="17">
      <c r="A631" s="15">
        <f t="shared" ca="1" si="25"/>
        <v>1811</v>
      </c>
      <c r="B631" s="16">
        <f t="shared" ca="1" si="26"/>
        <v>4.292982973225945E-2</v>
      </c>
      <c r="C631" s="17">
        <f>IF(AND(問題解答データベース!D631&gt;=小テスト!$C$6,D631&lt;=小テスト!$E$6),1,0)</f>
        <v>1</v>
      </c>
      <c r="D631" s="44">
        <f t="shared" si="27"/>
        <v>630</v>
      </c>
      <c r="E631" s="45" t="s">
        <v>794</v>
      </c>
      <c r="F631" s="46" t="s">
        <v>2543</v>
      </c>
    </row>
    <row r="632" spans="1:6" ht="17">
      <c r="A632" s="15">
        <f t="shared" ca="1" si="25"/>
        <v>1265</v>
      </c>
      <c r="B632" s="16">
        <f t="shared" ca="1" si="26"/>
        <v>0.34256836585201289</v>
      </c>
      <c r="C632" s="17">
        <f>IF(AND(問題解答データベース!D632&gt;=小テスト!$C$6,D632&lt;=小テスト!$E$6),1,0)</f>
        <v>1</v>
      </c>
      <c r="D632" s="44">
        <f t="shared" si="27"/>
        <v>631</v>
      </c>
      <c r="E632" s="45" t="s">
        <v>795</v>
      </c>
      <c r="F632" s="46" t="s">
        <v>2544</v>
      </c>
    </row>
    <row r="633" spans="1:6" ht="17">
      <c r="A633" s="15">
        <f t="shared" ca="1" si="25"/>
        <v>123</v>
      </c>
      <c r="B633" s="16">
        <f t="shared" ca="1" si="26"/>
        <v>0.94177454246340919</v>
      </c>
      <c r="C633" s="17">
        <f>IF(AND(問題解答データベース!D633&gt;=小テスト!$C$6,D633&lt;=小テスト!$E$6),1,0)</f>
        <v>1</v>
      </c>
      <c r="D633" s="44">
        <f t="shared" si="27"/>
        <v>632</v>
      </c>
      <c r="E633" s="45" t="s">
        <v>796</v>
      </c>
      <c r="F633" s="46" t="s">
        <v>2545</v>
      </c>
    </row>
    <row r="634" spans="1:6" ht="17">
      <c r="A634" s="15">
        <f t="shared" ca="1" si="25"/>
        <v>345</v>
      </c>
      <c r="B634" s="16">
        <f t="shared" ca="1" si="26"/>
        <v>0.81449642085898588</v>
      </c>
      <c r="C634" s="17">
        <f>IF(AND(問題解答データベース!D634&gt;=小テスト!$C$6,D634&lt;=小テスト!$E$6),1,0)</f>
        <v>1</v>
      </c>
      <c r="D634" s="44">
        <f t="shared" si="27"/>
        <v>633</v>
      </c>
      <c r="E634" s="45" t="s">
        <v>797</v>
      </c>
      <c r="F634" s="46" t="s">
        <v>2546</v>
      </c>
    </row>
    <row r="635" spans="1:6" ht="17">
      <c r="A635" s="15">
        <f t="shared" ca="1" si="25"/>
        <v>190</v>
      </c>
      <c r="B635" s="16">
        <f t="shared" ca="1" si="26"/>
        <v>0.90817593813128683</v>
      </c>
      <c r="C635" s="17">
        <f>IF(AND(問題解答データベース!D635&gt;=小テスト!$C$6,D635&lt;=小テスト!$E$6),1,0)</f>
        <v>1</v>
      </c>
      <c r="D635" s="44">
        <f t="shared" si="27"/>
        <v>634</v>
      </c>
      <c r="E635" s="45" t="s">
        <v>798</v>
      </c>
      <c r="F635" s="46" t="s">
        <v>2547</v>
      </c>
    </row>
    <row r="636" spans="1:6" ht="17">
      <c r="A636" s="15">
        <f t="shared" ca="1" si="25"/>
        <v>65</v>
      </c>
      <c r="B636" s="16">
        <f t="shared" ca="1" si="26"/>
        <v>0.96746905510837444</v>
      </c>
      <c r="C636" s="17">
        <f>IF(AND(問題解答データベース!D636&gt;=小テスト!$C$6,D636&lt;=小テスト!$E$6),1,0)</f>
        <v>1</v>
      </c>
      <c r="D636" s="44">
        <f t="shared" si="27"/>
        <v>635</v>
      </c>
      <c r="E636" s="45" t="s">
        <v>799</v>
      </c>
      <c r="F636" s="46" t="s">
        <v>2548</v>
      </c>
    </row>
    <row r="637" spans="1:6" ht="17">
      <c r="A637" s="15">
        <f t="shared" ca="1" si="25"/>
        <v>1221</v>
      </c>
      <c r="B637" s="16">
        <f t="shared" ca="1" si="26"/>
        <v>0.36326628312653686</v>
      </c>
      <c r="C637" s="17">
        <f>IF(AND(問題解答データベース!D637&gt;=小テスト!$C$6,D637&lt;=小テスト!$E$6),1,0)</f>
        <v>1</v>
      </c>
      <c r="D637" s="44">
        <f t="shared" si="27"/>
        <v>636</v>
      </c>
      <c r="E637" s="45" t="s">
        <v>800</v>
      </c>
      <c r="F637" s="46" t="s">
        <v>2549</v>
      </c>
    </row>
    <row r="638" spans="1:6" ht="17">
      <c r="A638" s="15">
        <f t="shared" ca="1" si="25"/>
        <v>1822</v>
      </c>
      <c r="B638" s="16">
        <f t="shared" ca="1" si="26"/>
        <v>3.7981380769210427E-2</v>
      </c>
      <c r="C638" s="17">
        <f>IF(AND(問題解答データベース!D638&gt;=小テスト!$C$6,D638&lt;=小テスト!$E$6),1,0)</f>
        <v>1</v>
      </c>
      <c r="D638" s="44">
        <f t="shared" si="27"/>
        <v>637</v>
      </c>
      <c r="E638" s="45" t="s">
        <v>801</v>
      </c>
      <c r="F638" s="46" t="s">
        <v>2550</v>
      </c>
    </row>
    <row r="639" spans="1:6" ht="17">
      <c r="A639" s="15">
        <f t="shared" ca="1" si="25"/>
        <v>1751</v>
      </c>
      <c r="B639" s="16">
        <f t="shared" ca="1" si="26"/>
        <v>7.4433535398096939E-2</v>
      </c>
      <c r="C639" s="17">
        <f>IF(AND(問題解答データベース!D639&gt;=小テスト!$C$6,D639&lt;=小テスト!$E$6),1,0)</f>
        <v>1</v>
      </c>
      <c r="D639" s="44">
        <f t="shared" si="27"/>
        <v>638</v>
      </c>
      <c r="E639" s="45" t="s">
        <v>802</v>
      </c>
      <c r="F639" s="46" t="s">
        <v>2551</v>
      </c>
    </row>
    <row r="640" spans="1:6" ht="17">
      <c r="A640" s="15">
        <f t="shared" ca="1" si="25"/>
        <v>1369</v>
      </c>
      <c r="B640" s="16">
        <f t="shared" ca="1" si="26"/>
        <v>0.28476749453284966</v>
      </c>
      <c r="C640" s="17">
        <f>IF(AND(問題解答データベース!D640&gt;=小テスト!$C$6,D640&lt;=小テスト!$E$6),1,0)</f>
        <v>1</v>
      </c>
      <c r="D640" s="44">
        <f t="shared" si="27"/>
        <v>639</v>
      </c>
      <c r="E640" s="45" t="s">
        <v>803</v>
      </c>
      <c r="F640" s="46" t="s">
        <v>2552</v>
      </c>
    </row>
    <row r="641" spans="1:6" ht="17">
      <c r="A641" s="15">
        <f t="shared" ca="1" si="25"/>
        <v>1533</v>
      </c>
      <c r="B641" s="16">
        <f t="shared" ca="1" si="26"/>
        <v>0.1865086335958368</v>
      </c>
      <c r="C641" s="17">
        <f>IF(AND(問題解答データベース!D641&gt;=小テスト!$C$6,D641&lt;=小テスト!$E$6),1,0)</f>
        <v>1</v>
      </c>
      <c r="D641" s="44">
        <f t="shared" si="27"/>
        <v>640</v>
      </c>
      <c r="E641" s="45" t="s">
        <v>804</v>
      </c>
      <c r="F641" s="46" t="s">
        <v>2553</v>
      </c>
    </row>
    <row r="642" spans="1:6" ht="17">
      <c r="A642" s="15">
        <f t="shared" ca="1" si="25"/>
        <v>1383</v>
      </c>
      <c r="B642" s="16">
        <f t="shared" ca="1" si="26"/>
        <v>0.27301711672618756</v>
      </c>
      <c r="C642" s="17">
        <f>IF(AND(問題解答データベース!D642&gt;=小テスト!$C$6,D642&lt;=小テスト!$E$6),1,0)</f>
        <v>1</v>
      </c>
      <c r="D642" s="44">
        <f t="shared" si="27"/>
        <v>641</v>
      </c>
      <c r="E642" s="45" t="s">
        <v>805</v>
      </c>
      <c r="F642" s="46" t="s">
        <v>2554</v>
      </c>
    </row>
    <row r="643" spans="1:6" ht="17">
      <c r="A643" s="15">
        <f t="shared" ref="A643:A706" ca="1" si="28">RANK(B643,$B$2:$B$1901,0)</f>
        <v>1004</v>
      </c>
      <c r="B643" s="16">
        <f t="shared" ca="1" si="26"/>
        <v>0.47659872728019359</v>
      </c>
      <c r="C643" s="17">
        <f>IF(AND(問題解答データベース!D643&gt;=小テスト!$C$6,D643&lt;=小テスト!$E$6),1,0)</f>
        <v>1</v>
      </c>
      <c r="D643" s="44">
        <f t="shared" si="27"/>
        <v>642</v>
      </c>
      <c r="E643" s="45" t="s">
        <v>806</v>
      </c>
      <c r="F643" s="46" t="s">
        <v>2555</v>
      </c>
    </row>
    <row r="644" spans="1:6" ht="17">
      <c r="A644" s="15">
        <f t="shared" ca="1" si="28"/>
        <v>461</v>
      </c>
      <c r="B644" s="16">
        <f t="shared" ca="1" si="26"/>
        <v>0.76081580217972966</v>
      </c>
      <c r="C644" s="17">
        <f>IF(AND(問題解答データベース!D644&gt;=小テスト!$C$6,D644&lt;=小テスト!$E$6),1,0)</f>
        <v>1</v>
      </c>
      <c r="D644" s="44">
        <f t="shared" si="27"/>
        <v>643</v>
      </c>
      <c r="E644" s="45" t="s">
        <v>807</v>
      </c>
      <c r="F644" s="46" t="s">
        <v>2556</v>
      </c>
    </row>
    <row r="645" spans="1:6" ht="17">
      <c r="A645" s="15">
        <f t="shared" ca="1" si="28"/>
        <v>1026</v>
      </c>
      <c r="B645" s="16">
        <f t="shared" ca="1" si="26"/>
        <v>0.46835451786850024</v>
      </c>
      <c r="C645" s="17">
        <f>IF(AND(問題解答データベース!D645&gt;=小テスト!$C$6,D645&lt;=小テスト!$E$6),1,0)</f>
        <v>1</v>
      </c>
      <c r="D645" s="44">
        <f t="shared" si="27"/>
        <v>644</v>
      </c>
      <c r="E645" s="45" t="s">
        <v>808</v>
      </c>
      <c r="F645" s="46" t="s">
        <v>2557</v>
      </c>
    </row>
    <row r="646" spans="1:6" ht="17">
      <c r="A646" s="15">
        <f t="shared" ca="1" si="28"/>
        <v>579</v>
      </c>
      <c r="B646" s="16">
        <f t="shared" ca="1" si="26"/>
        <v>0.69853471422034685</v>
      </c>
      <c r="C646" s="17">
        <f>IF(AND(問題解答データベース!D646&gt;=小テスト!$C$6,D646&lt;=小テスト!$E$6),1,0)</f>
        <v>1</v>
      </c>
      <c r="D646" s="44">
        <f t="shared" si="27"/>
        <v>645</v>
      </c>
      <c r="E646" s="45" t="s">
        <v>809</v>
      </c>
      <c r="F646" s="46" t="s">
        <v>2558</v>
      </c>
    </row>
    <row r="647" spans="1:6" ht="17">
      <c r="A647" s="15">
        <f t="shared" ca="1" si="28"/>
        <v>1868</v>
      </c>
      <c r="B647" s="16">
        <f t="shared" ca="1" si="26"/>
        <v>1.4374366530068627E-2</v>
      </c>
      <c r="C647" s="17">
        <f>IF(AND(問題解答データベース!D647&gt;=小テスト!$C$6,D647&lt;=小テスト!$E$6),1,0)</f>
        <v>1</v>
      </c>
      <c r="D647" s="44">
        <f t="shared" si="27"/>
        <v>646</v>
      </c>
      <c r="E647" s="45" t="s">
        <v>810</v>
      </c>
      <c r="F647" s="46" t="s">
        <v>2559</v>
      </c>
    </row>
    <row r="648" spans="1:6" ht="17">
      <c r="A648" s="15">
        <f t="shared" ca="1" si="28"/>
        <v>1044</v>
      </c>
      <c r="B648" s="16">
        <f t="shared" ca="1" si="26"/>
        <v>0.45911770096505344</v>
      </c>
      <c r="C648" s="17">
        <f>IF(AND(問題解答データベース!D648&gt;=小テスト!$C$6,D648&lt;=小テスト!$E$6),1,0)</f>
        <v>1</v>
      </c>
      <c r="D648" s="44">
        <f t="shared" si="27"/>
        <v>647</v>
      </c>
      <c r="E648" s="45" t="s">
        <v>811</v>
      </c>
      <c r="F648" s="46" t="s">
        <v>2560</v>
      </c>
    </row>
    <row r="649" spans="1:6" ht="17">
      <c r="A649" s="15">
        <f t="shared" ca="1" si="28"/>
        <v>1363</v>
      </c>
      <c r="B649" s="16">
        <f t="shared" ca="1" si="26"/>
        <v>0.28614328847910242</v>
      </c>
      <c r="C649" s="17">
        <f>IF(AND(問題解答データベース!D649&gt;=小テスト!$C$6,D649&lt;=小テスト!$E$6),1,0)</f>
        <v>1</v>
      </c>
      <c r="D649" s="44">
        <f t="shared" si="27"/>
        <v>648</v>
      </c>
      <c r="E649" s="45" t="s">
        <v>812</v>
      </c>
      <c r="F649" s="46" t="s">
        <v>2561</v>
      </c>
    </row>
    <row r="650" spans="1:6" ht="17">
      <c r="A650" s="15">
        <f t="shared" ca="1" si="28"/>
        <v>562</v>
      </c>
      <c r="B650" s="16">
        <f t="shared" ref="B650:B713" ca="1" si="29">IF(C650=1,RAND(),0)</f>
        <v>0.70640009321454089</v>
      </c>
      <c r="C650" s="17">
        <f>IF(AND(問題解答データベース!D650&gt;=小テスト!$C$6,D650&lt;=小テスト!$E$6),1,0)</f>
        <v>1</v>
      </c>
      <c r="D650" s="44">
        <f t="shared" si="27"/>
        <v>649</v>
      </c>
      <c r="E650" s="45" t="s">
        <v>813</v>
      </c>
      <c r="F650" s="46" t="s">
        <v>2562</v>
      </c>
    </row>
    <row r="651" spans="1:6" ht="17">
      <c r="A651" s="15">
        <f t="shared" ca="1" si="28"/>
        <v>689</v>
      </c>
      <c r="B651" s="16">
        <f t="shared" ca="1" si="29"/>
        <v>0.63240874047987061</v>
      </c>
      <c r="C651" s="17">
        <f>IF(AND(問題解答データベース!D651&gt;=小テスト!$C$6,D651&lt;=小テスト!$E$6),1,0)</f>
        <v>1</v>
      </c>
      <c r="D651" s="44">
        <f t="shared" si="27"/>
        <v>650</v>
      </c>
      <c r="E651" s="45" t="s">
        <v>814</v>
      </c>
      <c r="F651" s="46" t="s">
        <v>2563</v>
      </c>
    </row>
    <row r="652" spans="1:6" ht="17">
      <c r="A652" s="15">
        <f t="shared" ca="1" si="28"/>
        <v>1418</v>
      </c>
      <c r="B652" s="16">
        <f t="shared" ca="1" si="29"/>
        <v>0.25442399245362246</v>
      </c>
      <c r="C652" s="17">
        <f>IF(AND(問題解答データベース!D652&gt;=小テスト!$C$6,D652&lt;=小テスト!$E$6),1,0)</f>
        <v>1</v>
      </c>
      <c r="D652" s="44">
        <f t="shared" si="27"/>
        <v>651</v>
      </c>
      <c r="E652" s="45" t="s">
        <v>815</v>
      </c>
      <c r="F652" s="46" t="s">
        <v>2564</v>
      </c>
    </row>
    <row r="653" spans="1:6" ht="17">
      <c r="A653" s="15">
        <f t="shared" ca="1" si="28"/>
        <v>427</v>
      </c>
      <c r="B653" s="16">
        <f t="shared" ca="1" si="29"/>
        <v>0.77297496997003434</v>
      </c>
      <c r="C653" s="17">
        <f>IF(AND(問題解答データベース!D653&gt;=小テスト!$C$6,D653&lt;=小テスト!$E$6),1,0)</f>
        <v>1</v>
      </c>
      <c r="D653" s="44">
        <f t="shared" ref="D653:D716" si="30">D652+1</f>
        <v>652</v>
      </c>
      <c r="E653" s="45" t="s">
        <v>816</v>
      </c>
      <c r="F653" s="46" t="s">
        <v>2565</v>
      </c>
    </row>
    <row r="654" spans="1:6" ht="17">
      <c r="A654" s="15">
        <f t="shared" ca="1" si="28"/>
        <v>1085</v>
      </c>
      <c r="B654" s="16">
        <f t="shared" ca="1" si="29"/>
        <v>0.43367861926957696</v>
      </c>
      <c r="C654" s="17">
        <f>IF(AND(問題解答データベース!D654&gt;=小テスト!$C$6,D654&lt;=小テスト!$E$6),1,0)</f>
        <v>1</v>
      </c>
      <c r="D654" s="44">
        <f t="shared" si="30"/>
        <v>653</v>
      </c>
      <c r="E654" s="45" t="s">
        <v>817</v>
      </c>
      <c r="F654" s="46" t="s">
        <v>2566</v>
      </c>
    </row>
    <row r="655" spans="1:6" ht="17">
      <c r="A655" s="15">
        <f t="shared" ca="1" si="28"/>
        <v>1495</v>
      </c>
      <c r="B655" s="16">
        <f t="shared" ca="1" si="29"/>
        <v>0.20427259839482004</v>
      </c>
      <c r="C655" s="17">
        <f>IF(AND(問題解答データベース!D655&gt;=小テスト!$C$6,D655&lt;=小テスト!$E$6),1,0)</f>
        <v>1</v>
      </c>
      <c r="D655" s="44">
        <f t="shared" si="30"/>
        <v>654</v>
      </c>
      <c r="E655" s="45" t="s">
        <v>818</v>
      </c>
      <c r="F655" s="46" t="s">
        <v>2567</v>
      </c>
    </row>
    <row r="656" spans="1:6" ht="17">
      <c r="A656" s="15">
        <f t="shared" ca="1" si="28"/>
        <v>1144</v>
      </c>
      <c r="B656" s="16">
        <f t="shared" ca="1" si="29"/>
        <v>0.40040310679855196</v>
      </c>
      <c r="C656" s="17">
        <f>IF(AND(問題解答データベース!D656&gt;=小テスト!$C$6,D656&lt;=小テスト!$E$6),1,0)</f>
        <v>1</v>
      </c>
      <c r="D656" s="44">
        <f t="shared" si="30"/>
        <v>655</v>
      </c>
      <c r="E656" s="45" t="s">
        <v>819</v>
      </c>
      <c r="F656" s="46" t="s">
        <v>2568</v>
      </c>
    </row>
    <row r="657" spans="1:6" ht="17">
      <c r="A657" s="15">
        <f t="shared" ca="1" si="28"/>
        <v>1550</v>
      </c>
      <c r="B657" s="16">
        <f t="shared" ca="1" si="29"/>
        <v>0.17968371698870078</v>
      </c>
      <c r="C657" s="17">
        <f>IF(AND(問題解答データベース!D657&gt;=小テスト!$C$6,D657&lt;=小テスト!$E$6),1,0)</f>
        <v>1</v>
      </c>
      <c r="D657" s="44">
        <f t="shared" si="30"/>
        <v>656</v>
      </c>
      <c r="E657" s="45" t="s">
        <v>820</v>
      </c>
      <c r="F657" s="46" t="s">
        <v>2569</v>
      </c>
    </row>
    <row r="658" spans="1:6" ht="17">
      <c r="A658" s="15">
        <f t="shared" ca="1" si="28"/>
        <v>382</v>
      </c>
      <c r="B658" s="16">
        <f t="shared" ca="1" si="29"/>
        <v>0.79470344324993492</v>
      </c>
      <c r="C658" s="17">
        <f>IF(AND(問題解答データベース!D658&gt;=小テスト!$C$6,D658&lt;=小テスト!$E$6),1,0)</f>
        <v>1</v>
      </c>
      <c r="D658" s="44">
        <f t="shared" si="30"/>
        <v>657</v>
      </c>
      <c r="E658" s="45" t="s">
        <v>821</v>
      </c>
      <c r="F658" s="46" t="s">
        <v>2570</v>
      </c>
    </row>
    <row r="659" spans="1:6" ht="17">
      <c r="A659" s="15">
        <f t="shared" ca="1" si="28"/>
        <v>1340</v>
      </c>
      <c r="B659" s="16">
        <f t="shared" ca="1" si="29"/>
        <v>0.29706351606571124</v>
      </c>
      <c r="C659" s="17">
        <f>IF(AND(問題解答データベース!D659&gt;=小テスト!$C$6,D659&lt;=小テスト!$E$6),1,0)</f>
        <v>1</v>
      </c>
      <c r="D659" s="44">
        <f t="shared" si="30"/>
        <v>658</v>
      </c>
      <c r="E659" s="45" t="s">
        <v>822</v>
      </c>
      <c r="F659" s="46" t="s">
        <v>2571</v>
      </c>
    </row>
    <row r="660" spans="1:6" ht="17">
      <c r="A660" s="15">
        <f t="shared" ca="1" si="28"/>
        <v>473</v>
      </c>
      <c r="B660" s="16">
        <f t="shared" ca="1" si="29"/>
        <v>0.75601890813227191</v>
      </c>
      <c r="C660" s="17">
        <f>IF(AND(問題解答データベース!D660&gt;=小テスト!$C$6,D660&lt;=小テスト!$E$6),1,0)</f>
        <v>1</v>
      </c>
      <c r="D660" s="44">
        <f t="shared" si="30"/>
        <v>659</v>
      </c>
      <c r="E660" s="45" t="s">
        <v>823</v>
      </c>
      <c r="F660" s="46" t="s">
        <v>2572</v>
      </c>
    </row>
    <row r="661" spans="1:6" ht="17">
      <c r="A661" s="15">
        <f t="shared" ca="1" si="28"/>
        <v>710</v>
      </c>
      <c r="B661" s="16">
        <f t="shared" ca="1" si="29"/>
        <v>0.62259425799128176</v>
      </c>
      <c r="C661" s="17">
        <f>IF(AND(問題解答データベース!D661&gt;=小テスト!$C$6,D661&lt;=小テスト!$E$6),1,0)</f>
        <v>1</v>
      </c>
      <c r="D661" s="44">
        <f t="shared" si="30"/>
        <v>660</v>
      </c>
      <c r="E661" s="45" t="s">
        <v>824</v>
      </c>
      <c r="F661" s="46" t="s">
        <v>2573</v>
      </c>
    </row>
    <row r="662" spans="1:6" ht="17">
      <c r="A662" s="15">
        <f t="shared" ca="1" si="28"/>
        <v>1035</v>
      </c>
      <c r="B662" s="16">
        <f t="shared" ca="1" si="29"/>
        <v>0.46456613273562297</v>
      </c>
      <c r="C662" s="17">
        <f>IF(AND(問題解答データベース!D662&gt;=小テスト!$C$6,D662&lt;=小テスト!$E$6),1,0)</f>
        <v>1</v>
      </c>
      <c r="D662" s="44">
        <f t="shared" si="30"/>
        <v>661</v>
      </c>
      <c r="E662" s="45" t="s">
        <v>825</v>
      </c>
      <c r="F662" s="46" t="s">
        <v>2574</v>
      </c>
    </row>
    <row r="663" spans="1:6" ht="17">
      <c r="A663" s="15">
        <f t="shared" ca="1" si="28"/>
        <v>1509</v>
      </c>
      <c r="B663" s="16">
        <f t="shared" ca="1" si="29"/>
        <v>0.19718259529680726</v>
      </c>
      <c r="C663" s="17">
        <f>IF(AND(問題解答データベース!D663&gt;=小テスト!$C$6,D663&lt;=小テスト!$E$6),1,0)</f>
        <v>1</v>
      </c>
      <c r="D663" s="44">
        <f t="shared" si="30"/>
        <v>662</v>
      </c>
      <c r="E663" s="45" t="s">
        <v>826</v>
      </c>
      <c r="F663" s="46" t="s">
        <v>2575</v>
      </c>
    </row>
    <row r="664" spans="1:6" ht="17">
      <c r="A664" s="15">
        <f t="shared" ca="1" si="28"/>
        <v>1017</v>
      </c>
      <c r="B664" s="16">
        <f t="shared" ca="1" si="29"/>
        <v>0.47156198834265284</v>
      </c>
      <c r="C664" s="17">
        <f>IF(AND(問題解答データベース!D664&gt;=小テスト!$C$6,D664&lt;=小テスト!$E$6),1,0)</f>
        <v>1</v>
      </c>
      <c r="D664" s="44">
        <f t="shared" si="30"/>
        <v>663</v>
      </c>
      <c r="E664" s="45" t="s">
        <v>827</v>
      </c>
      <c r="F664" s="46" t="s">
        <v>2576</v>
      </c>
    </row>
    <row r="665" spans="1:6" ht="17">
      <c r="A665" s="15">
        <f t="shared" ca="1" si="28"/>
        <v>833</v>
      </c>
      <c r="B665" s="16">
        <f t="shared" ca="1" si="29"/>
        <v>0.55571848294332538</v>
      </c>
      <c r="C665" s="17">
        <f>IF(AND(問題解答データベース!D665&gt;=小テスト!$C$6,D665&lt;=小テスト!$E$6),1,0)</f>
        <v>1</v>
      </c>
      <c r="D665" s="44">
        <f t="shared" si="30"/>
        <v>664</v>
      </c>
      <c r="E665" s="45" t="s">
        <v>828</v>
      </c>
      <c r="F665" s="46" t="s">
        <v>2577</v>
      </c>
    </row>
    <row r="666" spans="1:6" ht="17">
      <c r="A666" s="15">
        <f t="shared" ca="1" si="28"/>
        <v>1172</v>
      </c>
      <c r="B666" s="16">
        <f t="shared" ca="1" si="29"/>
        <v>0.38333209125844847</v>
      </c>
      <c r="C666" s="17">
        <f>IF(AND(問題解答データベース!D666&gt;=小テスト!$C$6,D666&lt;=小テスト!$E$6),1,0)</f>
        <v>1</v>
      </c>
      <c r="D666" s="44">
        <f t="shared" si="30"/>
        <v>665</v>
      </c>
      <c r="E666" s="45" t="s">
        <v>829</v>
      </c>
      <c r="F666" s="46" t="s">
        <v>2578</v>
      </c>
    </row>
    <row r="667" spans="1:6" ht="17">
      <c r="A667" s="15">
        <f t="shared" ca="1" si="28"/>
        <v>1497</v>
      </c>
      <c r="B667" s="16">
        <f t="shared" ca="1" si="29"/>
        <v>0.20285293086970868</v>
      </c>
      <c r="C667" s="17">
        <f>IF(AND(問題解答データベース!D667&gt;=小テスト!$C$6,D667&lt;=小テスト!$E$6),1,0)</f>
        <v>1</v>
      </c>
      <c r="D667" s="44">
        <f t="shared" si="30"/>
        <v>666</v>
      </c>
      <c r="E667" s="45" t="s">
        <v>830</v>
      </c>
      <c r="F667" s="46" t="s">
        <v>2579</v>
      </c>
    </row>
    <row r="668" spans="1:6" ht="17">
      <c r="A668" s="15">
        <f t="shared" ca="1" si="28"/>
        <v>479</v>
      </c>
      <c r="B668" s="16">
        <f t="shared" ca="1" si="29"/>
        <v>0.75367678151934647</v>
      </c>
      <c r="C668" s="17">
        <f>IF(AND(問題解答データベース!D668&gt;=小テスト!$C$6,D668&lt;=小テスト!$E$6),1,0)</f>
        <v>1</v>
      </c>
      <c r="D668" s="44">
        <f t="shared" si="30"/>
        <v>667</v>
      </c>
      <c r="E668" s="45" t="s">
        <v>831</v>
      </c>
      <c r="F668" s="46" t="s">
        <v>2580</v>
      </c>
    </row>
    <row r="669" spans="1:6" ht="17">
      <c r="A669" s="15">
        <f t="shared" ca="1" si="28"/>
        <v>986</v>
      </c>
      <c r="B669" s="16">
        <f t="shared" ca="1" si="29"/>
        <v>0.48400790532898441</v>
      </c>
      <c r="C669" s="17">
        <f>IF(AND(問題解答データベース!D669&gt;=小テスト!$C$6,D669&lt;=小テスト!$E$6),1,0)</f>
        <v>1</v>
      </c>
      <c r="D669" s="44">
        <f t="shared" si="30"/>
        <v>668</v>
      </c>
      <c r="E669" s="45" t="s">
        <v>832</v>
      </c>
      <c r="F669" s="46" t="s">
        <v>2581</v>
      </c>
    </row>
    <row r="670" spans="1:6" ht="17">
      <c r="A670" s="15">
        <f t="shared" ca="1" si="28"/>
        <v>1255</v>
      </c>
      <c r="B670" s="16">
        <f t="shared" ca="1" si="29"/>
        <v>0.3474686589231224</v>
      </c>
      <c r="C670" s="17">
        <f>IF(AND(問題解答データベース!D670&gt;=小テスト!$C$6,D670&lt;=小テスト!$E$6),1,0)</f>
        <v>1</v>
      </c>
      <c r="D670" s="44">
        <f t="shared" si="30"/>
        <v>669</v>
      </c>
      <c r="E670" s="45" t="s">
        <v>833</v>
      </c>
      <c r="F670" s="46" t="s">
        <v>2582</v>
      </c>
    </row>
    <row r="671" spans="1:6" ht="17">
      <c r="A671" s="15">
        <f t="shared" ca="1" si="28"/>
        <v>365</v>
      </c>
      <c r="B671" s="16">
        <f t="shared" ca="1" si="29"/>
        <v>0.8058228372131514</v>
      </c>
      <c r="C671" s="17">
        <f>IF(AND(問題解答データベース!D671&gt;=小テスト!$C$6,D671&lt;=小テスト!$E$6),1,0)</f>
        <v>1</v>
      </c>
      <c r="D671" s="44">
        <f t="shared" si="30"/>
        <v>670</v>
      </c>
      <c r="E671" s="45" t="s">
        <v>834</v>
      </c>
      <c r="F671" s="46" t="s">
        <v>2583</v>
      </c>
    </row>
    <row r="672" spans="1:6" ht="17">
      <c r="A672" s="15">
        <f t="shared" ca="1" si="28"/>
        <v>510</v>
      </c>
      <c r="B672" s="16">
        <f t="shared" ca="1" si="29"/>
        <v>0.73596622102239206</v>
      </c>
      <c r="C672" s="17">
        <f>IF(AND(問題解答データベース!D672&gt;=小テスト!$C$6,D672&lt;=小テスト!$E$6),1,0)</f>
        <v>1</v>
      </c>
      <c r="D672" s="44">
        <f t="shared" si="30"/>
        <v>671</v>
      </c>
      <c r="E672" s="45" t="s">
        <v>835</v>
      </c>
      <c r="F672" s="46" t="s">
        <v>2584</v>
      </c>
    </row>
    <row r="673" spans="1:6" ht="17">
      <c r="A673" s="15">
        <f t="shared" ca="1" si="28"/>
        <v>10</v>
      </c>
      <c r="B673" s="16">
        <f t="shared" ca="1" si="29"/>
        <v>0.99573559640267895</v>
      </c>
      <c r="C673" s="17">
        <f>IF(AND(問題解答データベース!D673&gt;=小テスト!$C$6,D673&lt;=小テスト!$E$6),1,0)</f>
        <v>1</v>
      </c>
      <c r="D673" s="44">
        <f t="shared" si="30"/>
        <v>672</v>
      </c>
      <c r="E673" s="45" t="s">
        <v>836</v>
      </c>
      <c r="F673" s="46" t="s">
        <v>2585</v>
      </c>
    </row>
    <row r="674" spans="1:6" ht="17">
      <c r="A674" s="15">
        <f t="shared" ca="1" si="28"/>
        <v>162</v>
      </c>
      <c r="B674" s="16">
        <f t="shared" ca="1" si="29"/>
        <v>0.92131841743752307</v>
      </c>
      <c r="C674" s="17">
        <f>IF(AND(問題解答データベース!D674&gt;=小テスト!$C$6,D674&lt;=小テスト!$E$6),1,0)</f>
        <v>1</v>
      </c>
      <c r="D674" s="44">
        <f t="shared" si="30"/>
        <v>673</v>
      </c>
      <c r="E674" s="45" t="s">
        <v>837</v>
      </c>
      <c r="F674" s="46" t="s">
        <v>2586</v>
      </c>
    </row>
    <row r="675" spans="1:6" ht="17">
      <c r="A675" s="15">
        <f t="shared" ca="1" si="28"/>
        <v>629</v>
      </c>
      <c r="B675" s="16">
        <f t="shared" ca="1" si="29"/>
        <v>0.66675126550852171</v>
      </c>
      <c r="C675" s="17">
        <f>IF(AND(問題解答データベース!D675&gt;=小テスト!$C$6,D675&lt;=小テスト!$E$6),1,0)</f>
        <v>1</v>
      </c>
      <c r="D675" s="44">
        <f t="shared" si="30"/>
        <v>674</v>
      </c>
      <c r="E675" s="45" t="s">
        <v>838</v>
      </c>
      <c r="F675" s="46" t="s">
        <v>2587</v>
      </c>
    </row>
    <row r="676" spans="1:6" ht="17">
      <c r="A676" s="15">
        <f t="shared" ca="1" si="28"/>
        <v>1455</v>
      </c>
      <c r="B676" s="16">
        <f t="shared" ca="1" si="29"/>
        <v>0.22958473621136322</v>
      </c>
      <c r="C676" s="17">
        <f>IF(AND(問題解答データベース!D676&gt;=小テスト!$C$6,D676&lt;=小テスト!$E$6),1,0)</f>
        <v>1</v>
      </c>
      <c r="D676" s="44">
        <f t="shared" si="30"/>
        <v>675</v>
      </c>
      <c r="E676" s="45" t="s">
        <v>839</v>
      </c>
      <c r="F676" s="46" t="s">
        <v>2588</v>
      </c>
    </row>
    <row r="677" spans="1:6" ht="17">
      <c r="A677" s="15">
        <f t="shared" ca="1" si="28"/>
        <v>1326</v>
      </c>
      <c r="B677" s="16">
        <f t="shared" ca="1" si="29"/>
        <v>0.30510169579199253</v>
      </c>
      <c r="C677" s="17">
        <f>IF(AND(問題解答データベース!D677&gt;=小テスト!$C$6,D677&lt;=小テスト!$E$6),1,0)</f>
        <v>1</v>
      </c>
      <c r="D677" s="44">
        <f t="shared" si="30"/>
        <v>676</v>
      </c>
      <c r="E677" s="45" t="s">
        <v>840</v>
      </c>
      <c r="F677" s="46" t="s">
        <v>2589</v>
      </c>
    </row>
    <row r="678" spans="1:6" ht="17">
      <c r="A678" s="15">
        <f t="shared" ca="1" si="28"/>
        <v>83</v>
      </c>
      <c r="B678" s="16">
        <f t="shared" ca="1" si="29"/>
        <v>0.95965430638787774</v>
      </c>
      <c r="C678" s="17">
        <f>IF(AND(問題解答データベース!D678&gt;=小テスト!$C$6,D678&lt;=小テスト!$E$6),1,0)</f>
        <v>1</v>
      </c>
      <c r="D678" s="44">
        <f t="shared" si="30"/>
        <v>677</v>
      </c>
      <c r="E678" s="45" t="s">
        <v>841</v>
      </c>
      <c r="F678" s="46" t="s">
        <v>2590</v>
      </c>
    </row>
    <row r="679" spans="1:6" ht="17">
      <c r="A679" s="15">
        <f t="shared" ca="1" si="28"/>
        <v>224</v>
      </c>
      <c r="B679" s="16">
        <f t="shared" ca="1" si="29"/>
        <v>0.88849057336860848</v>
      </c>
      <c r="C679" s="17">
        <f>IF(AND(問題解答データベース!D679&gt;=小テスト!$C$6,D679&lt;=小テスト!$E$6),1,0)</f>
        <v>1</v>
      </c>
      <c r="D679" s="44">
        <f t="shared" si="30"/>
        <v>678</v>
      </c>
      <c r="E679" s="45" t="s">
        <v>842</v>
      </c>
      <c r="F679" s="46" t="s">
        <v>2591</v>
      </c>
    </row>
    <row r="680" spans="1:6" ht="17">
      <c r="A680" s="15">
        <f t="shared" ca="1" si="28"/>
        <v>618</v>
      </c>
      <c r="B680" s="16">
        <f t="shared" ca="1" si="29"/>
        <v>0.67492938000001268</v>
      </c>
      <c r="C680" s="17">
        <f>IF(AND(問題解答データベース!D680&gt;=小テスト!$C$6,D680&lt;=小テスト!$E$6),1,0)</f>
        <v>1</v>
      </c>
      <c r="D680" s="44">
        <f t="shared" si="30"/>
        <v>679</v>
      </c>
      <c r="E680" s="45" t="s">
        <v>843</v>
      </c>
      <c r="F680" s="46" t="s">
        <v>2592</v>
      </c>
    </row>
    <row r="681" spans="1:6" ht="17">
      <c r="A681" s="15">
        <f t="shared" ca="1" si="28"/>
        <v>389</v>
      </c>
      <c r="B681" s="16">
        <f t="shared" ca="1" si="29"/>
        <v>0.79116453564078659</v>
      </c>
      <c r="C681" s="17">
        <f>IF(AND(問題解答データベース!D681&gt;=小テスト!$C$6,D681&lt;=小テスト!$E$6),1,0)</f>
        <v>1</v>
      </c>
      <c r="D681" s="44">
        <f t="shared" si="30"/>
        <v>680</v>
      </c>
      <c r="E681" s="45" t="s">
        <v>844</v>
      </c>
      <c r="F681" s="46" t="s">
        <v>2593</v>
      </c>
    </row>
    <row r="682" spans="1:6" ht="17">
      <c r="A682" s="15">
        <f t="shared" ca="1" si="28"/>
        <v>1465</v>
      </c>
      <c r="B682" s="16">
        <f t="shared" ca="1" si="29"/>
        <v>0.2259285765778033</v>
      </c>
      <c r="C682" s="17">
        <f>IF(AND(問題解答データベース!D682&gt;=小テスト!$C$6,D682&lt;=小テスト!$E$6),1,0)</f>
        <v>1</v>
      </c>
      <c r="D682" s="44">
        <f t="shared" si="30"/>
        <v>681</v>
      </c>
      <c r="E682" s="45" t="s">
        <v>845</v>
      </c>
      <c r="F682" s="46" t="s">
        <v>2594</v>
      </c>
    </row>
    <row r="683" spans="1:6" ht="17">
      <c r="A683" s="15">
        <f t="shared" ca="1" si="28"/>
        <v>1733</v>
      </c>
      <c r="B683" s="16">
        <f t="shared" ca="1" si="29"/>
        <v>8.292522940595537E-2</v>
      </c>
      <c r="C683" s="17">
        <f>IF(AND(問題解答データベース!D683&gt;=小テスト!$C$6,D683&lt;=小テスト!$E$6),1,0)</f>
        <v>1</v>
      </c>
      <c r="D683" s="44">
        <f t="shared" si="30"/>
        <v>682</v>
      </c>
      <c r="E683" s="45" t="s">
        <v>846</v>
      </c>
      <c r="F683" s="46" t="s">
        <v>2595</v>
      </c>
    </row>
    <row r="684" spans="1:6" ht="17">
      <c r="A684" s="15">
        <f t="shared" ca="1" si="28"/>
        <v>397</v>
      </c>
      <c r="B684" s="16">
        <f t="shared" ca="1" si="29"/>
        <v>0.789501413918686</v>
      </c>
      <c r="C684" s="17">
        <f>IF(AND(問題解答データベース!D684&gt;=小テスト!$C$6,D684&lt;=小テスト!$E$6),1,0)</f>
        <v>1</v>
      </c>
      <c r="D684" s="44">
        <f t="shared" si="30"/>
        <v>683</v>
      </c>
      <c r="E684" s="45" t="s">
        <v>847</v>
      </c>
      <c r="F684" s="46" t="s">
        <v>2596</v>
      </c>
    </row>
    <row r="685" spans="1:6" ht="17">
      <c r="A685" s="15">
        <f t="shared" ca="1" si="28"/>
        <v>1297</v>
      </c>
      <c r="B685" s="16">
        <f t="shared" ca="1" si="29"/>
        <v>0.32330433829375971</v>
      </c>
      <c r="C685" s="17">
        <f>IF(AND(問題解答データベース!D685&gt;=小テスト!$C$6,D685&lt;=小テスト!$E$6),1,0)</f>
        <v>1</v>
      </c>
      <c r="D685" s="44">
        <f t="shared" si="30"/>
        <v>684</v>
      </c>
      <c r="E685" s="45" t="s">
        <v>848</v>
      </c>
      <c r="F685" s="46" t="s">
        <v>2597</v>
      </c>
    </row>
    <row r="686" spans="1:6" ht="17">
      <c r="A686" s="15">
        <f t="shared" ca="1" si="28"/>
        <v>764</v>
      </c>
      <c r="B686" s="16">
        <f t="shared" ca="1" si="29"/>
        <v>0.59711448220063479</v>
      </c>
      <c r="C686" s="17">
        <f>IF(AND(問題解答データベース!D686&gt;=小テスト!$C$6,D686&lt;=小テスト!$E$6),1,0)</f>
        <v>1</v>
      </c>
      <c r="D686" s="44">
        <f t="shared" si="30"/>
        <v>685</v>
      </c>
      <c r="E686" s="45" t="s">
        <v>849</v>
      </c>
      <c r="F686" s="46" t="s">
        <v>2598</v>
      </c>
    </row>
    <row r="687" spans="1:6" ht="17">
      <c r="A687" s="15">
        <f t="shared" ca="1" si="28"/>
        <v>396</v>
      </c>
      <c r="B687" s="16">
        <f t="shared" ca="1" si="29"/>
        <v>0.78959142874706012</v>
      </c>
      <c r="C687" s="17">
        <f>IF(AND(問題解答データベース!D687&gt;=小テスト!$C$6,D687&lt;=小テスト!$E$6),1,0)</f>
        <v>1</v>
      </c>
      <c r="D687" s="44">
        <f t="shared" si="30"/>
        <v>686</v>
      </c>
      <c r="E687" s="45" t="s">
        <v>850</v>
      </c>
      <c r="F687" s="46" t="s">
        <v>2599</v>
      </c>
    </row>
    <row r="688" spans="1:6" ht="17">
      <c r="A688" s="15">
        <f t="shared" ca="1" si="28"/>
        <v>1605</v>
      </c>
      <c r="B688" s="16">
        <f t="shared" ca="1" si="29"/>
        <v>0.15356957080412903</v>
      </c>
      <c r="C688" s="17">
        <f>IF(AND(問題解答データベース!D688&gt;=小テスト!$C$6,D688&lt;=小テスト!$E$6),1,0)</f>
        <v>1</v>
      </c>
      <c r="D688" s="44">
        <f t="shared" si="30"/>
        <v>687</v>
      </c>
      <c r="E688" s="45" t="s">
        <v>851</v>
      </c>
      <c r="F688" s="46" t="s">
        <v>2600</v>
      </c>
    </row>
    <row r="689" spans="1:6" ht="17">
      <c r="A689" s="15">
        <f t="shared" ca="1" si="28"/>
        <v>1116</v>
      </c>
      <c r="B689" s="16">
        <f t="shared" ca="1" si="29"/>
        <v>0.41503362878903771</v>
      </c>
      <c r="C689" s="17">
        <f>IF(AND(問題解答データベース!D689&gt;=小テスト!$C$6,D689&lt;=小テスト!$E$6),1,0)</f>
        <v>1</v>
      </c>
      <c r="D689" s="44">
        <f t="shared" si="30"/>
        <v>688</v>
      </c>
      <c r="E689" s="45" t="s">
        <v>852</v>
      </c>
      <c r="F689" s="46" t="s">
        <v>2601</v>
      </c>
    </row>
    <row r="690" spans="1:6" ht="17">
      <c r="A690" s="15">
        <f t="shared" ca="1" si="28"/>
        <v>1217</v>
      </c>
      <c r="B690" s="16">
        <f t="shared" ca="1" si="29"/>
        <v>0.36389644180156444</v>
      </c>
      <c r="C690" s="17">
        <f>IF(AND(問題解答データベース!D690&gt;=小テスト!$C$6,D690&lt;=小テスト!$E$6),1,0)</f>
        <v>1</v>
      </c>
      <c r="D690" s="44">
        <f t="shared" si="30"/>
        <v>689</v>
      </c>
      <c r="E690" s="45" t="s">
        <v>853</v>
      </c>
      <c r="F690" s="46" t="s">
        <v>2602</v>
      </c>
    </row>
    <row r="691" spans="1:6" ht="17">
      <c r="A691" s="15">
        <f t="shared" ca="1" si="28"/>
        <v>872</v>
      </c>
      <c r="B691" s="16">
        <f t="shared" ca="1" si="29"/>
        <v>0.53583303586280162</v>
      </c>
      <c r="C691" s="17">
        <f>IF(AND(問題解答データベース!D691&gt;=小テスト!$C$6,D691&lt;=小テスト!$E$6),1,0)</f>
        <v>1</v>
      </c>
      <c r="D691" s="44">
        <f t="shared" si="30"/>
        <v>690</v>
      </c>
      <c r="E691" s="45" t="s">
        <v>854</v>
      </c>
      <c r="F691" s="46" t="s">
        <v>2603</v>
      </c>
    </row>
    <row r="692" spans="1:6" ht="17">
      <c r="A692" s="15">
        <f t="shared" ca="1" si="28"/>
        <v>934</v>
      </c>
      <c r="B692" s="16">
        <f t="shared" ca="1" si="29"/>
        <v>0.50737890896321369</v>
      </c>
      <c r="C692" s="17">
        <f>IF(AND(問題解答データベース!D692&gt;=小テスト!$C$6,D692&lt;=小テスト!$E$6),1,0)</f>
        <v>1</v>
      </c>
      <c r="D692" s="44">
        <f t="shared" si="30"/>
        <v>691</v>
      </c>
      <c r="E692" s="45" t="s">
        <v>855</v>
      </c>
      <c r="F692" s="46" t="s">
        <v>2604</v>
      </c>
    </row>
    <row r="693" spans="1:6" ht="17">
      <c r="A693" s="15">
        <f t="shared" ca="1" si="28"/>
        <v>1367</v>
      </c>
      <c r="B693" s="16">
        <f t="shared" ca="1" si="29"/>
        <v>0.2852668001657076</v>
      </c>
      <c r="C693" s="17">
        <f>IF(AND(問題解答データベース!D693&gt;=小テスト!$C$6,D693&lt;=小テスト!$E$6),1,0)</f>
        <v>1</v>
      </c>
      <c r="D693" s="44">
        <f t="shared" si="30"/>
        <v>692</v>
      </c>
      <c r="E693" s="45" t="s">
        <v>856</v>
      </c>
      <c r="F693" s="46" t="s">
        <v>2605</v>
      </c>
    </row>
    <row r="694" spans="1:6" ht="17">
      <c r="A694" s="15">
        <f t="shared" ca="1" si="28"/>
        <v>1864</v>
      </c>
      <c r="B694" s="16">
        <f t="shared" ca="1" si="29"/>
        <v>1.5637565105600104E-2</v>
      </c>
      <c r="C694" s="17">
        <f>IF(AND(問題解答データベース!D694&gt;=小テスト!$C$6,D694&lt;=小テスト!$E$6),1,0)</f>
        <v>1</v>
      </c>
      <c r="D694" s="44">
        <f t="shared" si="30"/>
        <v>693</v>
      </c>
      <c r="E694" s="45" t="s">
        <v>857</v>
      </c>
      <c r="F694" s="46" t="s">
        <v>2606</v>
      </c>
    </row>
    <row r="695" spans="1:6" ht="17">
      <c r="A695" s="15">
        <f t="shared" ca="1" si="28"/>
        <v>1268</v>
      </c>
      <c r="B695" s="16">
        <f t="shared" ca="1" si="29"/>
        <v>0.3411303451390576</v>
      </c>
      <c r="C695" s="17">
        <f>IF(AND(問題解答データベース!D695&gt;=小テスト!$C$6,D695&lt;=小テスト!$E$6),1,0)</f>
        <v>1</v>
      </c>
      <c r="D695" s="44">
        <f t="shared" si="30"/>
        <v>694</v>
      </c>
      <c r="E695" s="45" t="s">
        <v>858</v>
      </c>
      <c r="F695" s="46" t="s">
        <v>2607</v>
      </c>
    </row>
    <row r="696" spans="1:6" ht="17">
      <c r="A696" s="15">
        <f t="shared" ca="1" si="28"/>
        <v>1264</v>
      </c>
      <c r="B696" s="16">
        <f t="shared" ca="1" si="29"/>
        <v>0.34339524203807681</v>
      </c>
      <c r="C696" s="17">
        <f>IF(AND(問題解答データベース!D696&gt;=小テスト!$C$6,D696&lt;=小テスト!$E$6),1,0)</f>
        <v>1</v>
      </c>
      <c r="D696" s="44">
        <f t="shared" si="30"/>
        <v>695</v>
      </c>
      <c r="E696" s="45" t="s">
        <v>859</v>
      </c>
      <c r="F696" s="46" t="s">
        <v>2608</v>
      </c>
    </row>
    <row r="697" spans="1:6" ht="17">
      <c r="A697" s="15">
        <f t="shared" ca="1" si="28"/>
        <v>923</v>
      </c>
      <c r="B697" s="16">
        <f t="shared" ca="1" si="29"/>
        <v>0.51360654930186167</v>
      </c>
      <c r="C697" s="17">
        <f>IF(AND(問題解答データベース!D697&gt;=小テスト!$C$6,D697&lt;=小テスト!$E$6),1,0)</f>
        <v>1</v>
      </c>
      <c r="D697" s="44">
        <f t="shared" si="30"/>
        <v>696</v>
      </c>
      <c r="E697" s="45" t="s">
        <v>860</v>
      </c>
      <c r="F697" s="46" t="s">
        <v>2609</v>
      </c>
    </row>
    <row r="698" spans="1:6" ht="17">
      <c r="A698" s="15">
        <f t="shared" ca="1" si="28"/>
        <v>740</v>
      </c>
      <c r="B698" s="16">
        <f t="shared" ca="1" si="29"/>
        <v>0.60567107114772767</v>
      </c>
      <c r="C698" s="17">
        <f>IF(AND(問題解答データベース!D698&gt;=小テスト!$C$6,D698&lt;=小テスト!$E$6),1,0)</f>
        <v>1</v>
      </c>
      <c r="D698" s="44">
        <f t="shared" si="30"/>
        <v>697</v>
      </c>
      <c r="E698" s="45" t="s">
        <v>861</v>
      </c>
      <c r="F698" s="46" t="s">
        <v>2610</v>
      </c>
    </row>
    <row r="699" spans="1:6" ht="17">
      <c r="A699" s="15">
        <f t="shared" ca="1" si="28"/>
        <v>1174</v>
      </c>
      <c r="B699" s="16">
        <f t="shared" ca="1" si="29"/>
        <v>0.38181086619356064</v>
      </c>
      <c r="C699" s="17">
        <f>IF(AND(問題解答データベース!D699&gt;=小テスト!$C$6,D699&lt;=小テスト!$E$6),1,0)</f>
        <v>1</v>
      </c>
      <c r="D699" s="44">
        <f t="shared" si="30"/>
        <v>698</v>
      </c>
      <c r="E699" s="45" t="s">
        <v>862</v>
      </c>
      <c r="F699" s="46" t="s">
        <v>2611</v>
      </c>
    </row>
    <row r="700" spans="1:6" ht="17">
      <c r="A700" s="15">
        <f t="shared" ca="1" si="28"/>
        <v>1877</v>
      </c>
      <c r="B700" s="16">
        <f t="shared" ca="1" si="29"/>
        <v>1.1939237185331186E-2</v>
      </c>
      <c r="C700" s="17">
        <f>IF(AND(問題解答データベース!D700&gt;=小テスト!$C$6,D700&lt;=小テスト!$E$6),1,0)</f>
        <v>1</v>
      </c>
      <c r="D700" s="44">
        <f t="shared" si="30"/>
        <v>699</v>
      </c>
      <c r="E700" s="45" t="s">
        <v>863</v>
      </c>
      <c r="F700" s="46" t="s">
        <v>2612</v>
      </c>
    </row>
    <row r="701" spans="1:6" ht="17">
      <c r="A701" s="15">
        <f t="shared" ca="1" si="28"/>
        <v>824</v>
      </c>
      <c r="B701" s="16">
        <f t="shared" ca="1" si="29"/>
        <v>0.56148350306314898</v>
      </c>
      <c r="C701" s="17">
        <f>IF(AND(問題解答データベース!D701&gt;=小テスト!$C$6,D701&lt;=小テスト!$E$6),1,0)</f>
        <v>1</v>
      </c>
      <c r="D701" s="44">
        <f t="shared" si="30"/>
        <v>700</v>
      </c>
      <c r="E701" s="45" t="s">
        <v>864</v>
      </c>
      <c r="F701" s="46" t="s">
        <v>2613</v>
      </c>
    </row>
    <row r="702" spans="1:6" ht="17">
      <c r="A702" s="15">
        <f t="shared" ca="1" si="28"/>
        <v>1766</v>
      </c>
      <c r="B702" s="16">
        <f t="shared" ca="1" si="29"/>
        <v>6.588862148468988E-2</v>
      </c>
      <c r="C702" s="17">
        <f>IF(AND(問題解答データベース!D702&gt;=小テスト!$C$6,D702&lt;=小テスト!$E$6),1,0)</f>
        <v>1</v>
      </c>
      <c r="D702" s="44">
        <f t="shared" si="30"/>
        <v>701</v>
      </c>
      <c r="E702" s="45" t="s">
        <v>865</v>
      </c>
      <c r="F702" s="46" t="s">
        <v>2614</v>
      </c>
    </row>
    <row r="703" spans="1:6" ht="17">
      <c r="A703" s="15">
        <f t="shared" ca="1" si="28"/>
        <v>261</v>
      </c>
      <c r="B703" s="16">
        <f t="shared" ca="1" si="29"/>
        <v>0.86382239866731581</v>
      </c>
      <c r="C703" s="17">
        <f>IF(AND(問題解答データベース!D703&gt;=小テスト!$C$6,D703&lt;=小テスト!$E$6),1,0)</f>
        <v>1</v>
      </c>
      <c r="D703" s="44">
        <f t="shared" si="30"/>
        <v>702</v>
      </c>
      <c r="E703" s="45" t="s">
        <v>866</v>
      </c>
      <c r="F703" s="46" t="s">
        <v>2615</v>
      </c>
    </row>
    <row r="704" spans="1:6" ht="17">
      <c r="A704" s="15">
        <f t="shared" ca="1" si="28"/>
        <v>1888</v>
      </c>
      <c r="B704" s="16">
        <f t="shared" ca="1" si="29"/>
        <v>5.6066694437750808E-3</v>
      </c>
      <c r="C704" s="17">
        <f>IF(AND(問題解答データベース!D704&gt;=小テスト!$C$6,D704&lt;=小テスト!$E$6),1,0)</f>
        <v>1</v>
      </c>
      <c r="D704" s="44">
        <f t="shared" si="30"/>
        <v>703</v>
      </c>
      <c r="E704" s="45" t="s">
        <v>867</v>
      </c>
      <c r="F704" s="46" t="s">
        <v>2616</v>
      </c>
    </row>
    <row r="705" spans="1:6" ht="17">
      <c r="A705" s="15">
        <f t="shared" ca="1" si="28"/>
        <v>1370</v>
      </c>
      <c r="B705" s="16">
        <f t="shared" ca="1" si="29"/>
        <v>0.28418421565243523</v>
      </c>
      <c r="C705" s="17">
        <f>IF(AND(問題解答データベース!D705&gt;=小テスト!$C$6,D705&lt;=小テスト!$E$6),1,0)</f>
        <v>1</v>
      </c>
      <c r="D705" s="44">
        <f t="shared" si="30"/>
        <v>704</v>
      </c>
      <c r="E705" s="45" t="s">
        <v>868</v>
      </c>
      <c r="F705" s="46" t="s">
        <v>2617</v>
      </c>
    </row>
    <row r="706" spans="1:6" ht="17">
      <c r="A706" s="15">
        <f t="shared" ca="1" si="28"/>
        <v>346</v>
      </c>
      <c r="B706" s="16">
        <f t="shared" ca="1" si="29"/>
        <v>0.81381955604300371</v>
      </c>
      <c r="C706" s="17">
        <f>IF(AND(問題解答データベース!D706&gt;=小テスト!$C$6,D706&lt;=小テスト!$E$6),1,0)</f>
        <v>1</v>
      </c>
      <c r="D706" s="44">
        <f t="shared" si="30"/>
        <v>705</v>
      </c>
      <c r="E706" s="45" t="s">
        <v>869</v>
      </c>
      <c r="F706" s="46" t="s">
        <v>2618</v>
      </c>
    </row>
    <row r="707" spans="1:6" ht="17">
      <c r="A707" s="15">
        <f t="shared" ref="A707:A770" ca="1" si="31">RANK(B707,$B$2:$B$1901,0)</f>
        <v>625</v>
      </c>
      <c r="B707" s="16">
        <f t="shared" ca="1" si="29"/>
        <v>0.67021013698298804</v>
      </c>
      <c r="C707" s="17">
        <f>IF(AND(問題解答データベース!D707&gt;=小テスト!$C$6,D707&lt;=小テスト!$E$6),1,0)</f>
        <v>1</v>
      </c>
      <c r="D707" s="44">
        <f t="shared" si="30"/>
        <v>706</v>
      </c>
      <c r="E707" s="45" t="s">
        <v>870</v>
      </c>
      <c r="F707" s="46" t="s">
        <v>2619</v>
      </c>
    </row>
    <row r="708" spans="1:6" ht="17">
      <c r="A708" s="15">
        <f t="shared" ca="1" si="31"/>
        <v>889</v>
      </c>
      <c r="B708" s="16">
        <f t="shared" ca="1" si="29"/>
        <v>0.52925252808322587</v>
      </c>
      <c r="C708" s="17">
        <f>IF(AND(問題解答データベース!D708&gt;=小テスト!$C$6,D708&lt;=小テスト!$E$6),1,0)</f>
        <v>1</v>
      </c>
      <c r="D708" s="44">
        <f t="shared" si="30"/>
        <v>707</v>
      </c>
      <c r="E708" s="45" t="s">
        <v>871</v>
      </c>
      <c r="F708" s="46" t="s">
        <v>2620</v>
      </c>
    </row>
    <row r="709" spans="1:6" ht="17">
      <c r="A709" s="15">
        <f t="shared" ca="1" si="31"/>
        <v>1224</v>
      </c>
      <c r="B709" s="16">
        <f t="shared" ca="1" si="29"/>
        <v>0.36228707140322758</v>
      </c>
      <c r="C709" s="17">
        <f>IF(AND(問題解答データベース!D709&gt;=小テスト!$C$6,D709&lt;=小テスト!$E$6),1,0)</f>
        <v>1</v>
      </c>
      <c r="D709" s="44">
        <f t="shared" si="30"/>
        <v>708</v>
      </c>
      <c r="E709" s="45" t="s">
        <v>872</v>
      </c>
      <c r="F709" s="46" t="s">
        <v>2621</v>
      </c>
    </row>
    <row r="710" spans="1:6" ht="17">
      <c r="A710" s="15">
        <f t="shared" ca="1" si="31"/>
        <v>557</v>
      </c>
      <c r="B710" s="16">
        <f t="shared" ca="1" si="29"/>
        <v>0.70966363494560558</v>
      </c>
      <c r="C710" s="17">
        <f>IF(AND(問題解答データベース!D710&gt;=小テスト!$C$6,D710&lt;=小テスト!$E$6),1,0)</f>
        <v>1</v>
      </c>
      <c r="D710" s="44">
        <f t="shared" si="30"/>
        <v>709</v>
      </c>
      <c r="E710" s="45" t="s">
        <v>873</v>
      </c>
      <c r="F710" s="46" t="s">
        <v>2622</v>
      </c>
    </row>
    <row r="711" spans="1:6" ht="17">
      <c r="A711" s="15">
        <f t="shared" ca="1" si="31"/>
        <v>1675</v>
      </c>
      <c r="B711" s="16">
        <f t="shared" ca="1" si="29"/>
        <v>0.11397056226123126</v>
      </c>
      <c r="C711" s="17">
        <f>IF(AND(問題解答データベース!D711&gt;=小テスト!$C$6,D711&lt;=小テスト!$E$6),1,0)</f>
        <v>1</v>
      </c>
      <c r="D711" s="44">
        <f t="shared" si="30"/>
        <v>710</v>
      </c>
      <c r="E711" s="45" t="s">
        <v>874</v>
      </c>
      <c r="F711" s="46" t="s">
        <v>2623</v>
      </c>
    </row>
    <row r="712" spans="1:6" ht="17">
      <c r="A712" s="15">
        <f t="shared" ca="1" si="31"/>
        <v>1276</v>
      </c>
      <c r="B712" s="16">
        <f t="shared" ca="1" si="29"/>
        <v>0.33485448696944065</v>
      </c>
      <c r="C712" s="17">
        <f>IF(AND(問題解答データベース!D712&gt;=小テスト!$C$6,D712&lt;=小テスト!$E$6),1,0)</f>
        <v>1</v>
      </c>
      <c r="D712" s="44">
        <f t="shared" si="30"/>
        <v>711</v>
      </c>
      <c r="E712" s="45" t="s">
        <v>875</v>
      </c>
      <c r="F712" s="46" t="s">
        <v>2624</v>
      </c>
    </row>
    <row r="713" spans="1:6" ht="17">
      <c r="A713" s="15">
        <f t="shared" ca="1" si="31"/>
        <v>1178</v>
      </c>
      <c r="B713" s="16">
        <f t="shared" ca="1" si="29"/>
        <v>0.37880072538980003</v>
      </c>
      <c r="C713" s="17">
        <f>IF(AND(問題解答データベース!D713&gt;=小テスト!$C$6,D713&lt;=小テスト!$E$6),1,0)</f>
        <v>1</v>
      </c>
      <c r="D713" s="44">
        <f t="shared" si="30"/>
        <v>712</v>
      </c>
      <c r="E713" s="45" t="s">
        <v>876</v>
      </c>
      <c r="F713" s="46" t="s">
        <v>2625</v>
      </c>
    </row>
    <row r="714" spans="1:6" ht="17">
      <c r="A714" s="15">
        <f t="shared" ca="1" si="31"/>
        <v>1134</v>
      </c>
      <c r="B714" s="16">
        <f t="shared" ref="B714:B777" ca="1" si="32">IF(C714=1,RAND(),0)</f>
        <v>0.40539961718465289</v>
      </c>
      <c r="C714" s="17">
        <f>IF(AND(問題解答データベース!D714&gt;=小テスト!$C$6,D714&lt;=小テスト!$E$6),1,0)</f>
        <v>1</v>
      </c>
      <c r="D714" s="44">
        <f t="shared" si="30"/>
        <v>713</v>
      </c>
      <c r="E714" s="45" t="s">
        <v>877</v>
      </c>
      <c r="F714" s="46" t="s">
        <v>2626</v>
      </c>
    </row>
    <row r="715" spans="1:6" ht="17">
      <c r="A715" s="15">
        <f t="shared" ca="1" si="31"/>
        <v>120</v>
      </c>
      <c r="B715" s="16">
        <f t="shared" ca="1" si="32"/>
        <v>0.94234737997613649</v>
      </c>
      <c r="C715" s="17">
        <f>IF(AND(問題解答データベース!D715&gt;=小テスト!$C$6,D715&lt;=小テスト!$E$6),1,0)</f>
        <v>1</v>
      </c>
      <c r="D715" s="44">
        <f t="shared" si="30"/>
        <v>714</v>
      </c>
      <c r="E715" s="45" t="s">
        <v>878</v>
      </c>
      <c r="F715" s="46" t="s">
        <v>2627</v>
      </c>
    </row>
    <row r="716" spans="1:6" ht="17">
      <c r="A716" s="15">
        <f t="shared" ca="1" si="31"/>
        <v>1409</v>
      </c>
      <c r="B716" s="16">
        <f t="shared" ca="1" si="32"/>
        <v>0.26240403178599525</v>
      </c>
      <c r="C716" s="17">
        <f>IF(AND(問題解答データベース!D716&gt;=小テスト!$C$6,D716&lt;=小テスト!$E$6),1,0)</f>
        <v>1</v>
      </c>
      <c r="D716" s="44">
        <f t="shared" si="30"/>
        <v>715</v>
      </c>
      <c r="E716" s="45" t="s">
        <v>879</v>
      </c>
      <c r="F716" s="46" t="s">
        <v>2628</v>
      </c>
    </row>
    <row r="717" spans="1:6" ht="17">
      <c r="A717" s="15">
        <f t="shared" ca="1" si="31"/>
        <v>221</v>
      </c>
      <c r="B717" s="16">
        <f t="shared" ca="1" si="32"/>
        <v>0.89137757120393102</v>
      </c>
      <c r="C717" s="17">
        <f>IF(AND(問題解答データベース!D717&gt;=小テスト!$C$6,D717&lt;=小テスト!$E$6),1,0)</f>
        <v>1</v>
      </c>
      <c r="D717" s="44">
        <f t="shared" ref="D717:D780" si="33">D716+1</f>
        <v>716</v>
      </c>
      <c r="E717" s="45" t="s">
        <v>880</v>
      </c>
      <c r="F717" s="46" t="s">
        <v>2629</v>
      </c>
    </row>
    <row r="718" spans="1:6" ht="17">
      <c r="A718" s="15">
        <f t="shared" ca="1" si="31"/>
        <v>760</v>
      </c>
      <c r="B718" s="16">
        <f t="shared" ca="1" si="32"/>
        <v>0.59830653486462848</v>
      </c>
      <c r="C718" s="17">
        <f>IF(AND(問題解答データベース!D718&gt;=小テスト!$C$6,D718&lt;=小テスト!$E$6),1,0)</f>
        <v>1</v>
      </c>
      <c r="D718" s="44">
        <f t="shared" si="33"/>
        <v>717</v>
      </c>
      <c r="E718" s="45" t="s">
        <v>881</v>
      </c>
      <c r="F718" s="46" t="s">
        <v>2630</v>
      </c>
    </row>
    <row r="719" spans="1:6" ht="17">
      <c r="A719" s="15">
        <f t="shared" ca="1" si="31"/>
        <v>1210</v>
      </c>
      <c r="B719" s="16">
        <f t="shared" ca="1" si="32"/>
        <v>0.36477580991624292</v>
      </c>
      <c r="C719" s="17">
        <f>IF(AND(問題解答データベース!D719&gt;=小テスト!$C$6,D719&lt;=小テスト!$E$6),1,0)</f>
        <v>1</v>
      </c>
      <c r="D719" s="44">
        <f t="shared" si="33"/>
        <v>718</v>
      </c>
      <c r="E719" s="45" t="s">
        <v>882</v>
      </c>
      <c r="F719" s="46" t="s">
        <v>2631</v>
      </c>
    </row>
    <row r="720" spans="1:6" ht="17">
      <c r="A720" s="15">
        <f t="shared" ca="1" si="31"/>
        <v>1722</v>
      </c>
      <c r="B720" s="16">
        <f t="shared" ca="1" si="32"/>
        <v>8.7828424887853029E-2</v>
      </c>
      <c r="C720" s="17">
        <f>IF(AND(問題解答データベース!D720&gt;=小テスト!$C$6,D720&lt;=小テスト!$E$6),1,0)</f>
        <v>1</v>
      </c>
      <c r="D720" s="44">
        <f t="shared" si="33"/>
        <v>719</v>
      </c>
      <c r="E720" s="45" t="s">
        <v>883</v>
      </c>
      <c r="F720" s="46" t="s">
        <v>2632</v>
      </c>
    </row>
    <row r="721" spans="1:6" ht="17">
      <c r="A721" s="15">
        <f t="shared" ca="1" si="31"/>
        <v>31</v>
      </c>
      <c r="B721" s="16">
        <f t="shared" ca="1" si="32"/>
        <v>0.98253185148207678</v>
      </c>
      <c r="C721" s="17">
        <f>IF(AND(問題解答データベース!D721&gt;=小テスト!$C$6,D721&lt;=小テスト!$E$6),1,0)</f>
        <v>1</v>
      </c>
      <c r="D721" s="44">
        <f t="shared" si="33"/>
        <v>720</v>
      </c>
      <c r="E721" s="45" t="s">
        <v>884</v>
      </c>
      <c r="F721" s="46" t="s">
        <v>2633</v>
      </c>
    </row>
    <row r="722" spans="1:6" ht="17">
      <c r="A722" s="15">
        <f t="shared" ca="1" si="31"/>
        <v>1574</v>
      </c>
      <c r="B722" s="16">
        <f t="shared" ca="1" si="32"/>
        <v>0.16716606342260232</v>
      </c>
      <c r="C722" s="17">
        <f>IF(AND(問題解答データベース!D722&gt;=小テスト!$C$6,D722&lt;=小テスト!$E$6),1,0)</f>
        <v>1</v>
      </c>
      <c r="D722" s="44">
        <f t="shared" si="33"/>
        <v>721</v>
      </c>
      <c r="E722" s="45" t="s">
        <v>885</v>
      </c>
      <c r="F722" s="46" t="s">
        <v>2634</v>
      </c>
    </row>
    <row r="723" spans="1:6" ht="17">
      <c r="A723" s="15">
        <f t="shared" ca="1" si="31"/>
        <v>107</v>
      </c>
      <c r="B723" s="16">
        <f t="shared" ca="1" si="32"/>
        <v>0.95033908853586402</v>
      </c>
      <c r="C723" s="17">
        <f>IF(AND(問題解答データベース!D723&gt;=小テスト!$C$6,D723&lt;=小テスト!$E$6),1,0)</f>
        <v>1</v>
      </c>
      <c r="D723" s="44">
        <f t="shared" si="33"/>
        <v>722</v>
      </c>
      <c r="E723" s="45" t="s">
        <v>886</v>
      </c>
      <c r="F723" s="46" t="s">
        <v>2635</v>
      </c>
    </row>
    <row r="724" spans="1:6" ht="17">
      <c r="A724" s="15">
        <f t="shared" ca="1" si="31"/>
        <v>1525</v>
      </c>
      <c r="B724" s="16">
        <f t="shared" ca="1" si="32"/>
        <v>0.18909422568341838</v>
      </c>
      <c r="C724" s="17">
        <f>IF(AND(問題解答データベース!D724&gt;=小テスト!$C$6,D724&lt;=小テスト!$E$6),1,0)</f>
        <v>1</v>
      </c>
      <c r="D724" s="44">
        <f t="shared" si="33"/>
        <v>723</v>
      </c>
      <c r="E724" s="45" t="s">
        <v>887</v>
      </c>
      <c r="F724" s="46" t="s">
        <v>2636</v>
      </c>
    </row>
    <row r="725" spans="1:6" ht="17">
      <c r="A725" s="15">
        <f t="shared" ca="1" si="31"/>
        <v>1313</v>
      </c>
      <c r="B725" s="16">
        <f t="shared" ca="1" si="32"/>
        <v>0.31278677852549208</v>
      </c>
      <c r="C725" s="17">
        <f>IF(AND(問題解答データベース!D725&gt;=小テスト!$C$6,D725&lt;=小テスト!$E$6),1,0)</f>
        <v>1</v>
      </c>
      <c r="D725" s="44">
        <f t="shared" si="33"/>
        <v>724</v>
      </c>
      <c r="E725" s="45" t="s">
        <v>888</v>
      </c>
      <c r="F725" s="46" t="s">
        <v>2637</v>
      </c>
    </row>
    <row r="726" spans="1:6" ht="17">
      <c r="A726" s="15">
        <f t="shared" ca="1" si="31"/>
        <v>483</v>
      </c>
      <c r="B726" s="16">
        <f t="shared" ca="1" si="32"/>
        <v>0.75141979196679487</v>
      </c>
      <c r="C726" s="17">
        <f>IF(AND(問題解答データベース!D726&gt;=小テスト!$C$6,D726&lt;=小テスト!$E$6),1,0)</f>
        <v>1</v>
      </c>
      <c r="D726" s="44">
        <f t="shared" si="33"/>
        <v>725</v>
      </c>
      <c r="E726" s="45" t="s">
        <v>889</v>
      </c>
      <c r="F726" s="46" t="s">
        <v>2638</v>
      </c>
    </row>
    <row r="727" spans="1:6" ht="17">
      <c r="A727" s="15">
        <f t="shared" ca="1" si="31"/>
        <v>1240</v>
      </c>
      <c r="B727" s="16">
        <f t="shared" ca="1" si="32"/>
        <v>0.35669787906741868</v>
      </c>
      <c r="C727" s="17">
        <f>IF(AND(問題解答データベース!D727&gt;=小テスト!$C$6,D727&lt;=小テスト!$E$6),1,0)</f>
        <v>1</v>
      </c>
      <c r="D727" s="44">
        <f t="shared" si="33"/>
        <v>726</v>
      </c>
      <c r="E727" s="45" t="s">
        <v>890</v>
      </c>
      <c r="F727" s="46" t="s">
        <v>2639</v>
      </c>
    </row>
    <row r="728" spans="1:6" ht="17">
      <c r="A728" s="15">
        <f t="shared" ca="1" si="31"/>
        <v>611</v>
      </c>
      <c r="B728" s="16">
        <f t="shared" ca="1" si="32"/>
        <v>0.6767580269895711</v>
      </c>
      <c r="C728" s="17">
        <f>IF(AND(問題解答データベース!D728&gt;=小テスト!$C$6,D728&lt;=小テスト!$E$6),1,0)</f>
        <v>1</v>
      </c>
      <c r="D728" s="44">
        <f t="shared" si="33"/>
        <v>727</v>
      </c>
      <c r="E728" s="45" t="s">
        <v>891</v>
      </c>
      <c r="F728" s="46" t="s">
        <v>2640</v>
      </c>
    </row>
    <row r="729" spans="1:6" ht="17">
      <c r="A729" s="15">
        <f t="shared" ca="1" si="31"/>
        <v>1388</v>
      </c>
      <c r="B729" s="16">
        <f t="shared" ca="1" si="32"/>
        <v>0.26965788086619735</v>
      </c>
      <c r="C729" s="17">
        <f>IF(AND(問題解答データベース!D729&gt;=小テスト!$C$6,D729&lt;=小テスト!$E$6),1,0)</f>
        <v>1</v>
      </c>
      <c r="D729" s="44">
        <f t="shared" si="33"/>
        <v>728</v>
      </c>
      <c r="E729" s="45" t="s">
        <v>892</v>
      </c>
      <c r="F729" s="46" t="s">
        <v>2641</v>
      </c>
    </row>
    <row r="730" spans="1:6" ht="17">
      <c r="A730" s="15">
        <f t="shared" ca="1" si="31"/>
        <v>1611</v>
      </c>
      <c r="B730" s="16">
        <f t="shared" ca="1" si="32"/>
        <v>0.15232560082235369</v>
      </c>
      <c r="C730" s="17">
        <f>IF(AND(問題解答データベース!D730&gt;=小テスト!$C$6,D730&lt;=小テスト!$E$6),1,0)</f>
        <v>1</v>
      </c>
      <c r="D730" s="44">
        <f t="shared" si="33"/>
        <v>729</v>
      </c>
      <c r="E730" s="45" t="s">
        <v>893</v>
      </c>
      <c r="F730" s="46" t="s">
        <v>2642</v>
      </c>
    </row>
    <row r="731" spans="1:6" ht="17">
      <c r="A731" s="15">
        <f t="shared" ca="1" si="31"/>
        <v>1428</v>
      </c>
      <c r="B731" s="16">
        <f t="shared" ca="1" si="32"/>
        <v>0.24869013720181044</v>
      </c>
      <c r="C731" s="17">
        <f>IF(AND(問題解答データベース!D731&gt;=小テスト!$C$6,D731&lt;=小テスト!$E$6),1,0)</f>
        <v>1</v>
      </c>
      <c r="D731" s="44">
        <f t="shared" si="33"/>
        <v>730</v>
      </c>
      <c r="E731" s="45" t="s">
        <v>894</v>
      </c>
      <c r="F731" s="46" t="s">
        <v>2643</v>
      </c>
    </row>
    <row r="732" spans="1:6" ht="17">
      <c r="A732" s="15">
        <f t="shared" ca="1" si="31"/>
        <v>1373</v>
      </c>
      <c r="B732" s="16">
        <f t="shared" ca="1" si="32"/>
        <v>0.27881976908577089</v>
      </c>
      <c r="C732" s="17">
        <f>IF(AND(問題解答データベース!D732&gt;=小テスト!$C$6,D732&lt;=小テスト!$E$6),1,0)</f>
        <v>1</v>
      </c>
      <c r="D732" s="44">
        <f t="shared" si="33"/>
        <v>731</v>
      </c>
      <c r="E732" s="45" t="s">
        <v>895</v>
      </c>
      <c r="F732" s="46" t="s">
        <v>2644</v>
      </c>
    </row>
    <row r="733" spans="1:6" ht="17">
      <c r="A733" s="15">
        <f t="shared" ca="1" si="31"/>
        <v>1873</v>
      </c>
      <c r="B733" s="16">
        <f t="shared" ca="1" si="32"/>
        <v>1.2997406362138975E-2</v>
      </c>
      <c r="C733" s="17">
        <f>IF(AND(問題解答データベース!D733&gt;=小テスト!$C$6,D733&lt;=小テスト!$E$6),1,0)</f>
        <v>1</v>
      </c>
      <c r="D733" s="44">
        <f t="shared" si="33"/>
        <v>732</v>
      </c>
      <c r="E733" s="45" t="s">
        <v>896</v>
      </c>
      <c r="F733" s="46" t="s">
        <v>2645</v>
      </c>
    </row>
    <row r="734" spans="1:6" ht="17">
      <c r="A734" s="15">
        <f t="shared" ca="1" si="31"/>
        <v>1105</v>
      </c>
      <c r="B734" s="16">
        <f t="shared" ca="1" si="32"/>
        <v>0.42087245197047407</v>
      </c>
      <c r="C734" s="17">
        <f>IF(AND(問題解答データベース!D734&gt;=小テスト!$C$6,D734&lt;=小テスト!$E$6),1,0)</f>
        <v>1</v>
      </c>
      <c r="D734" s="44">
        <f t="shared" si="33"/>
        <v>733</v>
      </c>
      <c r="E734" s="45" t="s">
        <v>897</v>
      </c>
      <c r="F734" s="46" t="s">
        <v>2646</v>
      </c>
    </row>
    <row r="735" spans="1:6" ht="17">
      <c r="A735" s="15">
        <f t="shared" ca="1" si="31"/>
        <v>1091</v>
      </c>
      <c r="B735" s="16">
        <f t="shared" ca="1" si="32"/>
        <v>0.4289768016546216</v>
      </c>
      <c r="C735" s="17">
        <f>IF(AND(問題解答データベース!D735&gt;=小テスト!$C$6,D735&lt;=小テスト!$E$6),1,0)</f>
        <v>1</v>
      </c>
      <c r="D735" s="44">
        <f t="shared" si="33"/>
        <v>734</v>
      </c>
      <c r="E735" s="45" t="s">
        <v>898</v>
      </c>
      <c r="F735" s="46" t="s">
        <v>2647</v>
      </c>
    </row>
    <row r="736" spans="1:6" ht="17">
      <c r="A736" s="15">
        <f t="shared" ca="1" si="31"/>
        <v>39</v>
      </c>
      <c r="B736" s="16">
        <f t="shared" ca="1" si="32"/>
        <v>0.9787547996799969</v>
      </c>
      <c r="C736" s="17">
        <f>IF(AND(問題解答データベース!D736&gt;=小テスト!$C$6,D736&lt;=小テスト!$E$6),1,0)</f>
        <v>1</v>
      </c>
      <c r="D736" s="44">
        <f t="shared" si="33"/>
        <v>735</v>
      </c>
      <c r="E736" s="45" t="s">
        <v>899</v>
      </c>
      <c r="F736" s="46" t="s">
        <v>2648</v>
      </c>
    </row>
    <row r="737" spans="1:6" ht="17">
      <c r="A737" s="15">
        <f t="shared" ca="1" si="31"/>
        <v>525</v>
      </c>
      <c r="B737" s="16">
        <f t="shared" ca="1" si="32"/>
        <v>0.72891547819745506</v>
      </c>
      <c r="C737" s="17">
        <f>IF(AND(問題解答データベース!D737&gt;=小テスト!$C$6,D737&lt;=小テスト!$E$6),1,0)</f>
        <v>1</v>
      </c>
      <c r="D737" s="44">
        <f t="shared" si="33"/>
        <v>736</v>
      </c>
      <c r="E737" s="45" t="s">
        <v>900</v>
      </c>
      <c r="F737" s="46" t="s">
        <v>2649</v>
      </c>
    </row>
    <row r="738" spans="1:6" ht="17">
      <c r="A738" s="15">
        <f t="shared" ca="1" si="31"/>
        <v>716</v>
      </c>
      <c r="B738" s="16">
        <f t="shared" ca="1" si="32"/>
        <v>0.62070642984560565</v>
      </c>
      <c r="C738" s="17">
        <f>IF(AND(問題解答データベース!D738&gt;=小テスト!$C$6,D738&lt;=小テスト!$E$6),1,0)</f>
        <v>1</v>
      </c>
      <c r="D738" s="44">
        <f t="shared" si="33"/>
        <v>737</v>
      </c>
      <c r="E738" s="45" t="s">
        <v>901</v>
      </c>
      <c r="F738" s="46" t="s">
        <v>2650</v>
      </c>
    </row>
    <row r="739" spans="1:6" ht="17">
      <c r="A739" s="15">
        <f t="shared" ca="1" si="31"/>
        <v>321</v>
      </c>
      <c r="B739" s="16">
        <f t="shared" ca="1" si="32"/>
        <v>0.82784993309794053</v>
      </c>
      <c r="C739" s="17">
        <f>IF(AND(問題解答データベース!D739&gt;=小テスト!$C$6,D739&lt;=小テスト!$E$6),1,0)</f>
        <v>1</v>
      </c>
      <c r="D739" s="44">
        <f t="shared" si="33"/>
        <v>738</v>
      </c>
      <c r="E739" s="45" t="s">
        <v>902</v>
      </c>
      <c r="F739" s="46" t="s">
        <v>2651</v>
      </c>
    </row>
    <row r="740" spans="1:6" ht="17">
      <c r="A740" s="15">
        <f t="shared" ca="1" si="31"/>
        <v>1067</v>
      </c>
      <c r="B740" s="16">
        <f t="shared" ca="1" si="32"/>
        <v>0.44431563892624648</v>
      </c>
      <c r="C740" s="17">
        <f>IF(AND(問題解答データベース!D740&gt;=小テスト!$C$6,D740&lt;=小テスト!$E$6),1,0)</f>
        <v>1</v>
      </c>
      <c r="D740" s="44">
        <f t="shared" si="33"/>
        <v>739</v>
      </c>
      <c r="E740" s="45" t="s">
        <v>903</v>
      </c>
      <c r="F740" s="46" t="s">
        <v>2652</v>
      </c>
    </row>
    <row r="741" spans="1:6" ht="17">
      <c r="A741" s="15">
        <f t="shared" ca="1" si="31"/>
        <v>1158</v>
      </c>
      <c r="B741" s="16">
        <f t="shared" ca="1" si="32"/>
        <v>0.39042684271432437</v>
      </c>
      <c r="C741" s="17">
        <f>IF(AND(問題解答データベース!D741&gt;=小テスト!$C$6,D741&lt;=小テスト!$E$6),1,0)</f>
        <v>1</v>
      </c>
      <c r="D741" s="44">
        <f t="shared" si="33"/>
        <v>740</v>
      </c>
      <c r="E741" s="45" t="s">
        <v>904</v>
      </c>
      <c r="F741" s="46" t="s">
        <v>2653</v>
      </c>
    </row>
    <row r="742" spans="1:6" ht="17">
      <c r="A742" s="15">
        <f t="shared" ca="1" si="31"/>
        <v>860</v>
      </c>
      <c r="B742" s="16">
        <f t="shared" ca="1" si="32"/>
        <v>0.54188114528004183</v>
      </c>
      <c r="C742" s="17">
        <f>IF(AND(問題解答データベース!D742&gt;=小テスト!$C$6,D742&lt;=小テスト!$E$6),1,0)</f>
        <v>1</v>
      </c>
      <c r="D742" s="44">
        <f t="shared" si="33"/>
        <v>741</v>
      </c>
      <c r="E742" s="45" t="s">
        <v>905</v>
      </c>
      <c r="F742" s="46" t="s">
        <v>2654</v>
      </c>
    </row>
    <row r="743" spans="1:6" ht="17">
      <c r="A743" s="15">
        <f t="shared" ca="1" si="31"/>
        <v>1527</v>
      </c>
      <c r="B743" s="16">
        <f t="shared" ca="1" si="32"/>
        <v>0.18766042360893676</v>
      </c>
      <c r="C743" s="17">
        <f>IF(AND(問題解答データベース!D743&gt;=小テスト!$C$6,D743&lt;=小テスト!$E$6),1,0)</f>
        <v>1</v>
      </c>
      <c r="D743" s="44">
        <f t="shared" si="33"/>
        <v>742</v>
      </c>
      <c r="E743" s="45" t="s">
        <v>906</v>
      </c>
      <c r="F743" s="46" t="s">
        <v>2655</v>
      </c>
    </row>
    <row r="744" spans="1:6" ht="17">
      <c r="A744" s="15">
        <f t="shared" ca="1" si="31"/>
        <v>1682</v>
      </c>
      <c r="B744" s="16">
        <f t="shared" ca="1" si="32"/>
        <v>0.10990967330540091</v>
      </c>
      <c r="C744" s="17">
        <f>IF(AND(問題解答データベース!D744&gt;=小テスト!$C$6,D744&lt;=小テスト!$E$6),1,0)</f>
        <v>1</v>
      </c>
      <c r="D744" s="44">
        <f t="shared" si="33"/>
        <v>743</v>
      </c>
      <c r="E744" s="45" t="s">
        <v>907</v>
      </c>
      <c r="F744" s="46" t="s">
        <v>2656</v>
      </c>
    </row>
    <row r="745" spans="1:6" ht="17">
      <c r="A745" s="15">
        <f t="shared" ca="1" si="31"/>
        <v>157</v>
      </c>
      <c r="B745" s="16">
        <f t="shared" ca="1" si="32"/>
        <v>0.92241855490324121</v>
      </c>
      <c r="C745" s="17">
        <f>IF(AND(問題解答データベース!D745&gt;=小テスト!$C$6,D745&lt;=小テスト!$E$6),1,0)</f>
        <v>1</v>
      </c>
      <c r="D745" s="44">
        <f t="shared" si="33"/>
        <v>744</v>
      </c>
      <c r="E745" s="45" t="s">
        <v>908</v>
      </c>
      <c r="F745" s="46" t="s">
        <v>2657</v>
      </c>
    </row>
    <row r="746" spans="1:6" ht="17">
      <c r="A746" s="15">
        <f t="shared" ca="1" si="31"/>
        <v>243</v>
      </c>
      <c r="B746" s="16">
        <f t="shared" ca="1" si="32"/>
        <v>0.87354861043926668</v>
      </c>
      <c r="C746" s="17">
        <f>IF(AND(問題解答データベース!D746&gt;=小テスト!$C$6,D746&lt;=小テスト!$E$6),1,0)</f>
        <v>1</v>
      </c>
      <c r="D746" s="44">
        <f t="shared" si="33"/>
        <v>745</v>
      </c>
      <c r="E746" s="45" t="s">
        <v>909</v>
      </c>
      <c r="F746" s="46" t="s">
        <v>2658</v>
      </c>
    </row>
    <row r="747" spans="1:6" ht="17">
      <c r="A747" s="15">
        <f t="shared" ca="1" si="31"/>
        <v>1356</v>
      </c>
      <c r="B747" s="16">
        <f t="shared" ca="1" si="32"/>
        <v>0.28939634033246364</v>
      </c>
      <c r="C747" s="17">
        <f>IF(AND(問題解答データベース!D747&gt;=小テスト!$C$6,D747&lt;=小テスト!$E$6),1,0)</f>
        <v>1</v>
      </c>
      <c r="D747" s="44">
        <f t="shared" si="33"/>
        <v>746</v>
      </c>
      <c r="E747" s="45" t="s">
        <v>910</v>
      </c>
      <c r="F747" s="46" t="s">
        <v>2659</v>
      </c>
    </row>
    <row r="748" spans="1:6" ht="17">
      <c r="A748" s="15">
        <f t="shared" ca="1" si="31"/>
        <v>598</v>
      </c>
      <c r="B748" s="16">
        <f t="shared" ca="1" si="32"/>
        <v>0.68501176898188743</v>
      </c>
      <c r="C748" s="17">
        <f>IF(AND(問題解答データベース!D748&gt;=小テスト!$C$6,D748&lt;=小テスト!$E$6),1,0)</f>
        <v>1</v>
      </c>
      <c r="D748" s="44">
        <f t="shared" si="33"/>
        <v>747</v>
      </c>
      <c r="E748" s="45" t="s">
        <v>911</v>
      </c>
      <c r="F748" s="46" t="s">
        <v>2660</v>
      </c>
    </row>
    <row r="749" spans="1:6" ht="17">
      <c r="A749" s="15">
        <f t="shared" ca="1" si="31"/>
        <v>378</v>
      </c>
      <c r="B749" s="16">
        <f t="shared" ca="1" si="32"/>
        <v>0.79767315747107637</v>
      </c>
      <c r="C749" s="17">
        <f>IF(AND(問題解答データベース!D749&gt;=小テスト!$C$6,D749&lt;=小テスト!$E$6),1,0)</f>
        <v>1</v>
      </c>
      <c r="D749" s="44">
        <f t="shared" si="33"/>
        <v>748</v>
      </c>
      <c r="E749" s="45" t="s">
        <v>912</v>
      </c>
      <c r="F749" s="46" t="s">
        <v>2661</v>
      </c>
    </row>
    <row r="750" spans="1:6" ht="17">
      <c r="A750" s="15">
        <f t="shared" ca="1" si="31"/>
        <v>1857</v>
      </c>
      <c r="B750" s="16">
        <f t="shared" ca="1" si="32"/>
        <v>1.9489472723067891E-2</v>
      </c>
      <c r="C750" s="17">
        <f>IF(AND(問題解答データベース!D750&gt;=小テスト!$C$6,D750&lt;=小テスト!$E$6),1,0)</f>
        <v>1</v>
      </c>
      <c r="D750" s="44">
        <f t="shared" si="33"/>
        <v>749</v>
      </c>
      <c r="E750" s="45" t="s">
        <v>913</v>
      </c>
      <c r="F750" s="46" t="s">
        <v>2662</v>
      </c>
    </row>
    <row r="751" spans="1:6" ht="17">
      <c r="A751" s="15">
        <f t="shared" ca="1" si="31"/>
        <v>869</v>
      </c>
      <c r="B751" s="16">
        <f t="shared" ca="1" si="32"/>
        <v>0.53734230454216514</v>
      </c>
      <c r="C751" s="17">
        <f>IF(AND(問題解答データベース!D751&gt;=小テスト!$C$6,D751&lt;=小テスト!$E$6),1,0)</f>
        <v>1</v>
      </c>
      <c r="D751" s="44">
        <f t="shared" si="33"/>
        <v>750</v>
      </c>
      <c r="E751" s="45" t="s">
        <v>914</v>
      </c>
      <c r="F751" s="46" t="s">
        <v>2663</v>
      </c>
    </row>
    <row r="752" spans="1:6" ht="17">
      <c r="A752" s="15">
        <f t="shared" ca="1" si="31"/>
        <v>591</v>
      </c>
      <c r="B752" s="16">
        <f t="shared" ca="1" si="32"/>
        <v>0.6887576622428907</v>
      </c>
      <c r="C752" s="17">
        <f>IF(AND(問題解答データベース!D752&gt;=小テスト!$C$6,D752&lt;=小テスト!$E$6),1,0)</f>
        <v>1</v>
      </c>
      <c r="D752" s="44">
        <f t="shared" si="33"/>
        <v>751</v>
      </c>
      <c r="E752" s="45" t="s">
        <v>915</v>
      </c>
      <c r="F752" s="46" t="s">
        <v>2664</v>
      </c>
    </row>
    <row r="753" spans="1:6" ht="17">
      <c r="A753" s="15">
        <f t="shared" ca="1" si="31"/>
        <v>1502</v>
      </c>
      <c r="B753" s="16">
        <f t="shared" ca="1" si="32"/>
        <v>0.1999122626463582</v>
      </c>
      <c r="C753" s="17">
        <f>IF(AND(問題解答データベース!D753&gt;=小テスト!$C$6,D753&lt;=小テスト!$E$6),1,0)</f>
        <v>1</v>
      </c>
      <c r="D753" s="44">
        <f t="shared" si="33"/>
        <v>752</v>
      </c>
      <c r="E753" s="45" t="s">
        <v>916</v>
      </c>
      <c r="F753" s="46" t="s">
        <v>2665</v>
      </c>
    </row>
    <row r="754" spans="1:6" ht="17">
      <c r="A754" s="15">
        <f t="shared" ca="1" si="31"/>
        <v>247</v>
      </c>
      <c r="B754" s="16">
        <f t="shared" ca="1" si="32"/>
        <v>0.87248864395307246</v>
      </c>
      <c r="C754" s="17">
        <f>IF(AND(問題解答データベース!D754&gt;=小テスト!$C$6,D754&lt;=小テスト!$E$6),1,0)</f>
        <v>1</v>
      </c>
      <c r="D754" s="44">
        <f t="shared" si="33"/>
        <v>753</v>
      </c>
      <c r="E754" s="45" t="s">
        <v>917</v>
      </c>
      <c r="F754" s="46" t="s">
        <v>2666</v>
      </c>
    </row>
    <row r="755" spans="1:6" ht="17">
      <c r="A755" s="15">
        <f t="shared" ca="1" si="31"/>
        <v>1792</v>
      </c>
      <c r="B755" s="16">
        <f t="shared" ca="1" si="32"/>
        <v>5.1705365117630464E-2</v>
      </c>
      <c r="C755" s="17">
        <f>IF(AND(問題解答データベース!D755&gt;=小テスト!$C$6,D755&lt;=小テスト!$E$6),1,0)</f>
        <v>1</v>
      </c>
      <c r="D755" s="44">
        <f t="shared" si="33"/>
        <v>754</v>
      </c>
      <c r="E755" s="45" t="s">
        <v>918</v>
      </c>
      <c r="F755" s="46" t="s">
        <v>2667</v>
      </c>
    </row>
    <row r="756" spans="1:6" ht="17">
      <c r="A756" s="15">
        <f t="shared" ca="1" si="31"/>
        <v>283</v>
      </c>
      <c r="B756" s="16">
        <f t="shared" ca="1" si="32"/>
        <v>0.85383196050118215</v>
      </c>
      <c r="C756" s="17">
        <f>IF(AND(問題解答データベース!D756&gt;=小テスト!$C$6,D756&lt;=小テスト!$E$6),1,0)</f>
        <v>1</v>
      </c>
      <c r="D756" s="44">
        <f t="shared" si="33"/>
        <v>755</v>
      </c>
      <c r="E756" s="45" t="s">
        <v>919</v>
      </c>
      <c r="F756" s="46" t="s">
        <v>2668</v>
      </c>
    </row>
    <row r="757" spans="1:6" ht="17">
      <c r="A757" s="15">
        <f t="shared" ca="1" si="31"/>
        <v>1551</v>
      </c>
      <c r="B757" s="16">
        <f t="shared" ca="1" si="32"/>
        <v>0.17959098590206646</v>
      </c>
      <c r="C757" s="17">
        <f>IF(AND(問題解答データベース!D757&gt;=小テスト!$C$6,D757&lt;=小テスト!$E$6),1,0)</f>
        <v>1</v>
      </c>
      <c r="D757" s="44">
        <f t="shared" si="33"/>
        <v>756</v>
      </c>
      <c r="E757" s="45" t="s">
        <v>920</v>
      </c>
      <c r="F757" s="46" t="s">
        <v>2669</v>
      </c>
    </row>
    <row r="758" spans="1:6" ht="17">
      <c r="A758" s="15">
        <f t="shared" ca="1" si="31"/>
        <v>45</v>
      </c>
      <c r="B758" s="16">
        <f t="shared" ca="1" si="32"/>
        <v>0.97590362163501287</v>
      </c>
      <c r="C758" s="17">
        <f>IF(AND(問題解答データベース!D758&gt;=小テスト!$C$6,D758&lt;=小テスト!$E$6),1,0)</f>
        <v>1</v>
      </c>
      <c r="D758" s="44">
        <f t="shared" si="33"/>
        <v>757</v>
      </c>
      <c r="E758" s="45" t="s">
        <v>921</v>
      </c>
      <c r="F758" s="46" t="s">
        <v>2670</v>
      </c>
    </row>
    <row r="759" spans="1:6" ht="17">
      <c r="A759" s="15">
        <f t="shared" ca="1" si="31"/>
        <v>1564</v>
      </c>
      <c r="B759" s="16">
        <f t="shared" ca="1" si="32"/>
        <v>0.17111453509926511</v>
      </c>
      <c r="C759" s="17">
        <f>IF(AND(問題解答データベース!D759&gt;=小テスト!$C$6,D759&lt;=小テスト!$E$6),1,0)</f>
        <v>1</v>
      </c>
      <c r="D759" s="44">
        <f t="shared" si="33"/>
        <v>758</v>
      </c>
      <c r="E759" s="45" t="s">
        <v>922</v>
      </c>
      <c r="F759" s="46" t="s">
        <v>2671</v>
      </c>
    </row>
    <row r="760" spans="1:6" ht="17">
      <c r="A760" s="15">
        <f t="shared" ca="1" si="31"/>
        <v>1767</v>
      </c>
      <c r="B760" s="16">
        <f t="shared" ca="1" si="32"/>
        <v>6.5439283379671864E-2</v>
      </c>
      <c r="C760" s="17">
        <f>IF(AND(問題解答データベース!D760&gt;=小テスト!$C$6,D760&lt;=小テスト!$E$6),1,0)</f>
        <v>1</v>
      </c>
      <c r="D760" s="44">
        <f t="shared" si="33"/>
        <v>759</v>
      </c>
      <c r="E760" s="45" t="s">
        <v>923</v>
      </c>
      <c r="F760" s="46" t="s">
        <v>2672</v>
      </c>
    </row>
    <row r="761" spans="1:6" ht="17">
      <c r="A761" s="15">
        <f t="shared" ca="1" si="31"/>
        <v>1348</v>
      </c>
      <c r="B761" s="16">
        <f t="shared" ca="1" si="32"/>
        <v>0.29466755114793464</v>
      </c>
      <c r="C761" s="17">
        <f>IF(AND(問題解答データベース!D761&gt;=小テスト!$C$6,D761&lt;=小テスト!$E$6),1,0)</f>
        <v>1</v>
      </c>
      <c r="D761" s="44">
        <f t="shared" si="33"/>
        <v>760</v>
      </c>
      <c r="E761" s="45" t="s">
        <v>924</v>
      </c>
      <c r="F761" s="46" t="s">
        <v>2673</v>
      </c>
    </row>
    <row r="762" spans="1:6" ht="17">
      <c r="A762" s="15">
        <f t="shared" ca="1" si="31"/>
        <v>1573</v>
      </c>
      <c r="B762" s="16">
        <f t="shared" ca="1" si="32"/>
        <v>0.16735285704950131</v>
      </c>
      <c r="C762" s="17">
        <f>IF(AND(問題解答データベース!D762&gt;=小テスト!$C$6,D762&lt;=小テスト!$E$6),1,0)</f>
        <v>1</v>
      </c>
      <c r="D762" s="44">
        <f t="shared" si="33"/>
        <v>761</v>
      </c>
      <c r="E762" s="45" t="s">
        <v>925</v>
      </c>
      <c r="F762" s="46" t="s">
        <v>2674</v>
      </c>
    </row>
    <row r="763" spans="1:6" ht="17">
      <c r="A763" s="15">
        <f t="shared" ca="1" si="31"/>
        <v>1658</v>
      </c>
      <c r="B763" s="16">
        <f t="shared" ca="1" si="32"/>
        <v>0.12426427516400307</v>
      </c>
      <c r="C763" s="17">
        <f>IF(AND(問題解答データベース!D763&gt;=小テスト!$C$6,D763&lt;=小テスト!$E$6),1,0)</f>
        <v>1</v>
      </c>
      <c r="D763" s="44">
        <f t="shared" si="33"/>
        <v>762</v>
      </c>
      <c r="E763" s="45" t="s">
        <v>926</v>
      </c>
      <c r="F763" s="46" t="s">
        <v>2675</v>
      </c>
    </row>
    <row r="764" spans="1:6" ht="17">
      <c r="A764" s="15">
        <f t="shared" ca="1" si="31"/>
        <v>617</v>
      </c>
      <c r="B764" s="16">
        <f t="shared" ca="1" si="32"/>
        <v>0.67510925102769626</v>
      </c>
      <c r="C764" s="17">
        <f>IF(AND(問題解答データベース!D764&gt;=小テスト!$C$6,D764&lt;=小テスト!$E$6),1,0)</f>
        <v>1</v>
      </c>
      <c r="D764" s="44">
        <f t="shared" si="33"/>
        <v>763</v>
      </c>
      <c r="E764" s="45" t="s">
        <v>927</v>
      </c>
      <c r="F764" s="46" t="s">
        <v>2676</v>
      </c>
    </row>
    <row r="765" spans="1:6" ht="17">
      <c r="A765" s="15">
        <f t="shared" ca="1" si="31"/>
        <v>1075</v>
      </c>
      <c r="B765" s="16">
        <f t="shared" ca="1" si="32"/>
        <v>0.43879068607448812</v>
      </c>
      <c r="C765" s="17">
        <f>IF(AND(問題解答データベース!D765&gt;=小テスト!$C$6,D765&lt;=小テスト!$E$6),1,0)</f>
        <v>1</v>
      </c>
      <c r="D765" s="44">
        <f t="shared" si="33"/>
        <v>764</v>
      </c>
      <c r="E765" s="45" t="s">
        <v>928</v>
      </c>
      <c r="F765" s="46" t="s">
        <v>2677</v>
      </c>
    </row>
    <row r="766" spans="1:6" ht="17">
      <c r="A766" s="15">
        <f t="shared" ca="1" si="31"/>
        <v>921</v>
      </c>
      <c r="B766" s="16">
        <f t="shared" ca="1" si="32"/>
        <v>0.51425996987780409</v>
      </c>
      <c r="C766" s="17">
        <f>IF(AND(問題解答データベース!D766&gt;=小テスト!$C$6,D766&lt;=小テスト!$E$6),1,0)</f>
        <v>1</v>
      </c>
      <c r="D766" s="44">
        <f t="shared" si="33"/>
        <v>765</v>
      </c>
      <c r="E766" s="45" t="s">
        <v>929</v>
      </c>
      <c r="F766" s="46" t="s">
        <v>2678</v>
      </c>
    </row>
    <row r="767" spans="1:6" ht="17">
      <c r="A767" s="15">
        <f t="shared" ca="1" si="31"/>
        <v>1120</v>
      </c>
      <c r="B767" s="16">
        <f t="shared" ca="1" si="32"/>
        <v>0.4144584174871303</v>
      </c>
      <c r="C767" s="17">
        <f>IF(AND(問題解答データベース!D767&gt;=小テスト!$C$6,D767&lt;=小テスト!$E$6),1,0)</f>
        <v>1</v>
      </c>
      <c r="D767" s="44">
        <f t="shared" si="33"/>
        <v>766</v>
      </c>
      <c r="E767" s="45" t="s">
        <v>930</v>
      </c>
      <c r="F767" s="46" t="s">
        <v>2679</v>
      </c>
    </row>
    <row r="768" spans="1:6" ht="17">
      <c r="A768" s="15">
        <f t="shared" ca="1" si="31"/>
        <v>399</v>
      </c>
      <c r="B768" s="16">
        <f t="shared" ca="1" si="32"/>
        <v>0.78743493548670496</v>
      </c>
      <c r="C768" s="17">
        <f>IF(AND(問題解答データベース!D768&gt;=小テスト!$C$6,D768&lt;=小テスト!$E$6),1,0)</f>
        <v>1</v>
      </c>
      <c r="D768" s="44">
        <f t="shared" si="33"/>
        <v>767</v>
      </c>
      <c r="E768" s="45" t="s">
        <v>931</v>
      </c>
      <c r="F768" s="46" t="s">
        <v>2680</v>
      </c>
    </row>
    <row r="769" spans="1:6" ht="17">
      <c r="A769" s="15">
        <f t="shared" ca="1" si="31"/>
        <v>1254</v>
      </c>
      <c r="B769" s="16">
        <f t="shared" ca="1" si="32"/>
        <v>0.34771099689895291</v>
      </c>
      <c r="C769" s="17">
        <f>IF(AND(問題解答データベース!D769&gt;=小テスト!$C$6,D769&lt;=小テスト!$E$6),1,0)</f>
        <v>1</v>
      </c>
      <c r="D769" s="44">
        <f t="shared" si="33"/>
        <v>768</v>
      </c>
      <c r="E769" s="45" t="s">
        <v>932</v>
      </c>
      <c r="F769" s="46" t="s">
        <v>2681</v>
      </c>
    </row>
    <row r="770" spans="1:6" ht="17">
      <c r="A770" s="15">
        <f t="shared" ca="1" si="31"/>
        <v>1636</v>
      </c>
      <c r="B770" s="16">
        <f t="shared" ca="1" si="32"/>
        <v>0.13508039368843783</v>
      </c>
      <c r="C770" s="17">
        <f>IF(AND(問題解答データベース!D770&gt;=小テスト!$C$6,D770&lt;=小テスト!$E$6),1,0)</f>
        <v>1</v>
      </c>
      <c r="D770" s="44">
        <f t="shared" si="33"/>
        <v>769</v>
      </c>
      <c r="E770" s="45" t="s">
        <v>933</v>
      </c>
      <c r="F770" s="46" t="s">
        <v>2682</v>
      </c>
    </row>
    <row r="771" spans="1:6" ht="17">
      <c r="A771" s="15">
        <f t="shared" ref="A771:A834" ca="1" si="34">RANK(B771,$B$2:$B$1901,0)</f>
        <v>995</v>
      </c>
      <c r="B771" s="16">
        <f t="shared" ca="1" si="32"/>
        <v>0.48035373348295485</v>
      </c>
      <c r="C771" s="17">
        <f>IF(AND(問題解答データベース!D771&gt;=小テスト!$C$6,D771&lt;=小テスト!$E$6),1,0)</f>
        <v>1</v>
      </c>
      <c r="D771" s="44">
        <f t="shared" si="33"/>
        <v>770</v>
      </c>
      <c r="E771" s="45" t="s">
        <v>934</v>
      </c>
      <c r="F771" s="46" t="s">
        <v>2683</v>
      </c>
    </row>
    <row r="772" spans="1:6" ht="17">
      <c r="A772" s="15">
        <f t="shared" ca="1" si="34"/>
        <v>1563</v>
      </c>
      <c r="B772" s="16">
        <f t="shared" ca="1" si="32"/>
        <v>0.17175979811574993</v>
      </c>
      <c r="C772" s="17">
        <f>IF(AND(問題解答データベース!D772&gt;=小テスト!$C$6,D772&lt;=小テスト!$E$6),1,0)</f>
        <v>1</v>
      </c>
      <c r="D772" s="44">
        <f t="shared" si="33"/>
        <v>771</v>
      </c>
      <c r="E772" s="45" t="s">
        <v>935</v>
      </c>
      <c r="F772" s="46" t="s">
        <v>2684</v>
      </c>
    </row>
    <row r="773" spans="1:6" ht="17">
      <c r="A773" s="15">
        <f t="shared" ca="1" si="34"/>
        <v>761</v>
      </c>
      <c r="B773" s="16">
        <f t="shared" ca="1" si="32"/>
        <v>0.59810254343175462</v>
      </c>
      <c r="C773" s="17">
        <f>IF(AND(問題解答データベース!D773&gt;=小テスト!$C$6,D773&lt;=小テスト!$E$6),1,0)</f>
        <v>1</v>
      </c>
      <c r="D773" s="44">
        <f t="shared" si="33"/>
        <v>772</v>
      </c>
      <c r="E773" s="45" t="s">
        <v>936</v>
      </c>
      <c r="F773" s="46" t="s">
        <v>2685</v>
      </c>
    </row>
    <row r="774" spans="1:6" ht="17">
      <c r="A774" s="15">
        <f t="shared" ca="1" si="34"/>
        <v>1560</v>
      </c>
      <c r="B774" s="16">
        <f t="shared" ca="1" si="32"/>
        <v>0.17349688638572891</v>
      </c>
      <c r="C774" s="17">
        <f>IF(AND(問題解答データベース!D774&gt;=小テスト!$C$6,D774&lt;=小テスト!$E$6),1,0)</f>
        <v>1</v>
      </c>
      <c r="D774" s="44">
        <f t="shared" si="33"/>
        <v>773</v>
      </c>
      <c r="E774" s="45" t="s">
        <v>937</v>
      </c>
      <c r="F774" s="46" t="s">
        <v>2686</v>
      </c>
    </row>
    <row r="775" spans="1:6" ht="17">
      <c r="A775" s="15">
        <f t="shared" ca="1" si="34"/>
        <v>1071</v>
      </c>
      <c r="B775" s="16">
        <f t="shared" ca="1" si="32"/>
        <v>0.44117397401245206</v>
      </c>
      <c r="C775" s="17">
        <f>IF(AND(問題解答データベース!D775&gt;=小テスト!$C$6,D775&lt;=小テスト!$E$6),1,0)</f>
        <v>1</v>
      </c>
      <c r="D775" s="44">
        <f t="shared" si="33"/>
        <v>774</v>
      </c>
      <c r="E775" s="45" t="s">
        <v>938</v>
      </c>
      <c r="F775" s="46" t="s">
        <v>2687</v>
      </c>
    </row>
    <row r="776" spans="1:6" ht="17">
      <c r="A776" s="15">
        <f t="shared" ca="1" si="34"/>
        <v>911</v>
      </c>
      <c r="B776" s="16">
        <f t="shared" ca="1" si="32"/>
        <v>0.5192408056967992</v>
      </c>
      <c r="C776" s="17">
        <f>IF(AND(問題解答データベース!D776&gt;=小テスト!$C$6,D776&lt;=小テスト!$E$6),1,0)</f>
        <v>1</v>
      </c>
      <c r="D776" s="44">
        <f t="shared" si="33"/>
        <v>775</v>
      </c>
      <c r="E776" s="45" t="s">
        <v>939</v>
      </c>
      <c r="F776" s="46" t="s">
        <v>2688</v>
      </c>
    </row>
    <row r="777" spans="1:6" ht="17">
      <c r="A777" s="15">
        <f t="shared" ca="1" si="34"/>
        <v>1780</v>
      </c>
      <c r="B777" s="16">
        <f t="shared" ca="1" si="32"/>
        <v>5.9353835536391619E-2</v>
      </c>
      <c r="C777" s="17">
        <f>IF(AND(問題解答データベース!D777&gt;=小テスト!$C$6,D777&lt;=小テスト!$E$6),1,0)</f>
        <v>1</v>
      </c>
      <c r="D777" s="44">
        <f t="shared" si="33"/>
        <v>776</v>
      </c>
      <c r="E777" s="45" t="s">
        <v>940</v>
      </c>
      <c r="F777" s="46" t="s">
        <v>2689</v>
      </c>
    </row>
    <row r="778" spans="1:6" ht="17">
      <c r="A778" s="15">
        <f t="shared" ca="1" si="34"/>
        <v>759</v>
      </c>
      <c r="B778" s="16">
        <f t="shared" ref="B778:B841" ca="1" si="35">IF(C778=1,RAND(),0)</f>
        <v>0.59860605383276533</v>
      </c>
      <c r="C778" s="17">
        <f>IF(AND(問題解答データベース!D778&gt;=小テスト!$C$6,D778&lt;=小テスト!$E$6),1,0)</f>
        <v>1</v>
      </c>
      <c r="D778" s="44">
        <f t="shared" si="33"/>
        <v>777</v>
      </c>
      <c r="E778" s="45" t="s">
        <v>941</v>
      </c>
      <c r="F778" s="46" t="s">
        <v>2690</v>
      </c>
    </row>
    <row r="779" spans="1:6" ht="17">
      <c r="A779" s="15">
        <f t="shared" ca="1" si="34"/>
        <v>951</v>
      </c>
      <c r="B779" s="16">
        <f t="shared" ca="1" si="35"/>
        <v>0.49915334525250099</v>
      </c>
      <c r="C779" s="17">
        <f>IF(AND(問題解答データベース!D779&gt;=小テスト!$C$6,D779&lt;=小テスト!$E$6),1,0)</f>
        <v>1</v>
      </c>
      <c r="D779" s="44">
        <f t="shared" si="33"/>
        <v>778</v>
      </c>
      <c r="E779" s="45" t="s">
        <v>942</v>
      </c>
      <c r="F779" s="46" t="s">
        <v>2691</v>
      </c>
    </row>
    <row r="780" spans="1:6" ht="17">
      <c r="A780" s="15">
        <f t="shared" ca="1" si="34"/>
        <v>1097</v>
      </c>
      <c r="B780" s="16">
        <f t="shared" ca="1" si="35"/>
        <v>0.42486890452336967</v>
      </c>
      <c r="C780" s="17">
        <f>IF(AND(問題解答データベース!D780&gt;=小テスト!$C$6,D780&lt;=小テスト!$E$6),1,0)</f>
        <v>1</v>
      </c>
      <c r="D780" s="44">
        <f t="shared" si="33"/>
        <v>779</v>
      </c>
      <c r="E780" s="45" t="s">
        <v>943</v>
      </c>
      <c r="F780" s="46" t="s">
        <v>2692</v>
      </c>
    </row>
    <row r="781" spans="1:6" ht="17">
      <c r="A781" s="15">
        <f t="shared" ca="1" si="34"/>
        <v>1548</v>
      </c>
      <c r="B781" s="16">
        <f t="shared" ca="1" si="35"/>
        <v>0.18061413261918802</v>
      </c>
      <c r="C781" s="17">
        <f>IF(AND(問題解答データベース!D781&gt;=小テスト!$C$6,D781&lt;=小テスト!$E$6),1,0)</f>
        <v>1</v>
      </c>
      <c r="D781" s="44">
        <f t="shared" ref="D781:D844" si="36">D780+1</f>
        <v>780</v>
      </c>
      <c r="E781" s="45" t="s">
        <v>944</v>
      </c>
      <c r="F781" s="46" t="s">
        <v>2693</v>
      </c>
    </row>
    <row r="782" spans="1:6" ht="17">
      <c r="A782" s="15">
        <f t="shared" ca="1" si="34"/>
        <v>1074</v>
      </c>
      <c r="B782" s="16">
        <f t="shared" ca="1" si="35"/>
        <v>0.4401881215573944</v>
      </c>
      <c r="C782" s="17">
        <f>IF(AND(問題解答データベース!D782&gt;=小テスト!$C$6,D782&lt;=小テスト!$E$6),1,0)</f>
        <v>1</v>
      </c>
      <c r="D782" s="44">
        <f t="shared" si="36"/>
        <v>781</v>
      </c>
      <c r="E782" s="45" t="s">
        <v>945</v>
      </c>
      <c r="F782" s="46" t="s">
        <v>2694</v>
      </c>
    </row>
    <row r="783" spans="1:6" ht="17">
      <c r="A783" s="15">
        <f t="shared" ca="1" si="34"/>
        <v>1306</v>
      </c>
      <c r="B783" s="16">
        <f t="shared" ca="1" si="35"/>
        <v>0.31578136877957497</v>
      </c>
      <c r="C783" s="17">
        <f>IF(AND(問題解答データベース!D783&gt;=小テスト!$C$6,D783&lt;=小テスト!$E$6),1,0)</f>
        <v>1</v>
      </c>
      <c r="D783" s="44">
        <f t="shared" si="36"/>
        <v>782</v>
      </c>
      <c r="E783" s="45" t="s">
        <v>946</v>
      </c>
      <c r="F783" s="46" t="s">
        <v>2695</v>
      </c>
    </row>
    <row r="784" spans="1:6" ht="17">
      <c r="A784" s="15">
        <f t="shared" ca="1" si="34"/>
        <v>1010</v>
      </c>
      <c r="B784" s="16">
        <f t="shared" ca="1" si="35"/>
        <v>0.47355697098503136</v>
      </c>
      <c r="C784" s="17">
        <f>IF(AND(問題解答データベース!D784&gt;=小テスト!$C$6,D784&lt;=小テスト!$E$6),1,0)</f>
        <v>1</v>
      </c>
      <c r="D784" s="44">
        <f t="shared" si="36"/>
        <v>783</v>
      </c>
      <c r="E784" s="45" t="s">
        <v>947</v>
      </c>
      <c r="F784" s="46" t="s">
        <v>2696</v>
      </c>
    </row>
    <row r="785" spans="1:6" ht="17">
      <c r="A785" s="15">
        <f t="shared" ca="1" si="34"/>
        <v>657</v>
      </c>
      <c r="B785" s="16">
        <f t="shared" ca="1" si="35"/>
        <v>0.65500750860564738</v>
      </c>
      <c r="C785" s="17">
        <f>IF(AND(問題解答データベース!D785&gt;=小テスト!$C$6,D785&lt;=小テスト!$E$6),1,0)</f>
        <v>1</v>
      </c>
      <c r="D785" s="44">
        <f t="shared" si="36"/>
        <v>784</v>
      </c>
      <c r="E785" s="45" t="s">
        <v>948</v>
      </c>
      <c r="F785" s="46" t="s">
        <v>2697</v>
      </c>
    </row>
    <row r="786" spans="1:6" ht="17">
      <c r="A786" s="15">
        <f t="shared" ca="1" si="34"/>
        <v>1043</v>
      </c>
      <c r="B786" s="16">
        <f t="shared" ca="1" si="35"/>
        <v>0.45991588899072</v>
      </c>
      <c r="C786" s="17">
        <f>IF(AND(問題解答データベース!D786&gt;=小テスト!$C$6,D786&lt;=小テスト!$E$6),1,0)</f>
        <v>1</v>
      </c>
      <c r="D786" s="44">
        <f t="shared" si="36"/>
        <v>785</v>
      </c>
      <c r="E786" s="45" t="s">
        <v>949</v>
      </c>
      <c r="F786" s="46" t="s">
        <v>2698</v>
      </c>
    </row>
    <row r="787" spans="1:6" ht="17">
      <c r="A787" s="15">
        <f t="shared" ca="1" si="34"/>
        <v>1869</v>
      </c>
      <c r="B787" s="16">
        <f t="shared" ca="1" si="35"/>
        <v>1.4204033208617295E-2</v>
      </c>
      <c r="C787" s="17">
        <f>IF(AND(問題解答データベース!D787&gt;=小テスト!$C$6,D787&lt;=小テスト!$E$6),1,0)</f>
        <v>1</v>
      </c>
      <c r="D787" s="44">
        <f t="shared" si="36"/>
        <v>786</v>
      </c>
      <c r="E787" s="45" t="s">
        <v>950</v>
      </c>
      <c r="F787" s="46" t="s">
        <v>2699</v>
      </c>
    </row>
    <row r="788" spans="1:6" ht="17">
      <c r="A788" s="15">
        <f t="shared" ca="1" si="34"/>
        <v>21</v>
      </c>
      <c r="B788" s="16">
        <f t="shared" ca="1" si="35"/>
        <v>0.99016226559649578</v>
      </c>
      <c r="C788" s="17">
        <f>IF(AND(問題解答データベース!D788&gt;=小テスト!$C$6,D788&lt;=小テスト!$E$6),1,0)</f>
        <v>1</v>
      </c>
      <c r="D788" s="44">
        <f t="shared" si="36"/>
        <v>787</v>
      </c>
      <c r="E788" s="45" t="s">
        <v>951</v>
      </c>
      <c r="F788" s="46" t="s">
        <v>2700</v>
      </c>
    </row>
    <row r="789" spans="1:6" ht="17">
      <c r="A789" s="15">
        <f t="shared" ca="1" si="34"/>
        <v>165</v>
      </c>
      <c r="B789" s="16">
        <f t="shared" ca="1" si="35"/>
        <v>0.91987347680188503</v>
      </c>
      <c r="C789" s="17">
        <f>IF(AND(問題解答データベース!D789&gt;=小テスト!$C$6,D789&lt;=小テスト!$E$6),1,0)</f>
        <v>1</v>
      </c>
      <c r="D789" s="44">
        <f t="shared" si="36"/>
        <v>788</v>
      </c>
      <c r="E789" s="45" t="s">
        <v>952</v>
      </c>
      <c r="F789" s="46" t="s">
        <v>2701</v>
      </c>
    </row>
    <row r="790" spans="1:6" ht="17">
      <c r="A790" s="15">
        <f t="shared" ca="1" si="34"/>
        <v>891</v>
      </c>
      <c r="B790" s="16">
        <f t="shared" ca="1" si="35"/>
        <v>0.52809050077917685</v>
      </c>
      <c r="C790" s="17">
        <f>IF(AND(問題解答データベース!D790&gt;=小テスト!$C$6,D790&lt;=小テスト!$E$6),1,0)</f>
        <v>1</v>
      </c>
      <c r="D790" s="44">
        <f t="shared" si="36"/>
        <v>789</v>
      </c>
      <c r="E790" s="45" t="s">
        <v>953</v>
      </c>
      <c r="F790" s="46" t="s">
        <v>2702</v>
      </c>
    </row>
    <row r="791" spans="1:6" ht="17">
      <c r="A791" s="15">
        <f t="shared" ca="1" si="34"/>
        <v>1171</v>
      </c>
      <c r="B791" s="16">
        <f t="shared" ca="1" si="35"/>
        <v>0.3833497551585453</v>
      </c>
      <c r="C791" s="17">
        <f>IF(AND(問題解答データベース!D791&gt;=小テスト!$C$6,D791&lt;=小テスト!$E$6),1,0)</f>
        <v>1</v>
      </c>
      <c r="D791" s="44">
        <f t="shared" si="36"/>
        <v>790</v>
      </c>
      <c r="E791" s="45" t="s">
        <v>954</v>
      </c>
      <c r="F791" s="46" t="s">
        <v>2703</v>
      </c>
    </row>
    <row r="792" spans="1:6" ht="17">
      <c r="A792" s="15">
        <f t="shared" ca="1" si="34"/>
        <v>1590</v>
      </c>
      <c r="B792" s="16">
        <f t="shared" ca="1" si="35"/>
        <v>0.15999484255198027</v>
      </c>
      <c r="C792" s="17">
        <f>IF(AND(問題解答データベース!D792&gt;=小テスト!$C$6,D792&lt;=小テスト!$E$6),1,0)</f>
        <v>1</v>
      </c>
      <c r="D792" s="44">
        <f t="shared" si="36"/>
        <v>791</v>
      </c>
      <c r="E792" s="45" t="s">
        <v>955</v>
      </c>
      <c r="F792" s="46" t="s">
        <v>2704</v>
      </c>
    </row>
    <row r="793" spans="1:6" ht="17">
      <c r="A793" s="15">
        <f t="shared" ca="1" si="34"/>
        <v>798</v>
      </c>
      <c r="B793" s="16">
        <f t="shared" ca="1" si="35"/>
        <v>0.5776070006145978</v>
      </c>
      <c r="C793" s="17">
        <f>IF(AND(問題解答データベース!D793&gt;=小テスト!$C$6,D793&lt;=小テスト!$E$6),1,0)</f>
        <v>1</v>
      </c>
      <c r="D793" s="44">
        <f t="shared" si="36"/>
        <v>792</v>
      </c>
      <c r="E793" s="45" t="s">
        <v>956</v>
      </c>
      <c r="F793" s="46" t="s">
        <v>2705</v>
      </c>
    </row>
    <row r="794" spans="1:6" ht="17">
      <c r="A794" s="15">
        <f t="shared" ca="1" si="34"/>
        <v>1343</v>
      </c>
      <c r="B794" s="16">
        <f t="shared" ca="1" si="35"/>
        <v>0.29637509448465826</v>
      </c>
      <c r="C794" s="17">
        <f>IF(AND(問題解答データベース!D794&gt;=小テスト!$C$6,D794&lt;=小テスト!$E$6),1,0)</f>
        <v>1</v>
      </c>
      <c r="D794" s="44">
        <f t="shared" si="36"/>
        <v>793</v>
      </c>
      <c r="E794" s="45" t="s">
        <v>957</v>
      </c>
      <c r="F794" s="46" t="s">
        <v>2706</v>
      </c>
    </row>
    <row r="795" spans="1:6" ht="17">
      <c r="A795" s="15">
        <f t="shared" ca="1" si="34"/>
        <v>1443</v>
      </c>
      <c r="B795" s="16">
        <f t="shared" ca="1" si="35"/>
        <v>0.24216752459044166</v>
      </c>
      <c r="C795" s="17">
        <f>IF(AND(問題解答データベース!D795&gt;=小テスト!$C$6,D795&lt;=小テスト!$E$6),1,0)</f>
        <v>1</v>
      </c>
      <c r="D795" s="44">
        <f t="shared" si="36"/>
        <v>794</v>
      </c>
      <c r="E795" s="45" t="s">
        <v>958</v>
      </c>
      <c r="F795" s="46" t="s">
        <v>2707</v>
      </c>
    </row>
    <row r="796" spans="1:6" ht="17">
      <c r="A796" s="15">
        <f t="shared" ca="1" si="34"/>
        <v>1064</v>
      </c>
      <c r="B796" s="16">
        <f t="shared" ca="1" si="35"/>
        <v>0.44691769586511731</v>
      </c>
      <c r="C796" s="17">
        <f>IF(AND(問題解答データベース!D796&gt;=小テスト!$C$6,D796&lt;=小テスト!$E$6),1,0)</f>
        <v>1</v>
      </c>
      <c r="D796" s="44">
        <f t="shared" si="36"/>
        <v>795</v>
      </c>
      <c r="E796" s="45" t="s">
        <v>959</v>
      </c>
      <c r="F796" s="46" t="s">
        <v>2708</v>
      </c>
    </row>
    <row r="797" spans="1:6" ht="17">
      <c r="A797" s="15">
        <f t="shared" ca="1" si="34"/>
        <v>1693</v>
      </c>
      <c r="B797" s="16">
        <f t="shared" ca="1" si="35"/>
        <v>0.10485117629384277</v>
      </c>
      <c r="C797" s="17">
        <f>IF(AND(問題解答データベース!D797&gt;=小テスト!$C$6,D797&lt;=小テスト!$E$6),1,0)</f>
        <v>1</v>
      </c>
      <c r="D797" s="44">
        <f t="shared" si="36"/>
        <v>796</v>
      </c>
      <c r="E797" s="45" t="s">
        <v>960</v>
      </c>
      <c r="F797" s="46" t="s">
        <v>2709</v>
      </c>
    </row>
    <row r="798" spans="1:6" ht="17">
      <c r="A798" s="15">
        <f t="shared" ca="1" si="34"/>
        <v>324</v>
      </c>
      <c r="B798" s="16">
        <f t="shared" ca="1" si="35"/>
        <v>0.82558425579316663</v>
      </c>
      <c r="C798" s="17">
        <f>IF(AND(問題解答データベース!D798&gt;=小テスト!$C$6,D798&lt;=小テスト!$E$6),1,0)</f>
        <v>1</v>
      </c>
      <c r="D798" s="44">
        <f t="shared" si="36"/>
        <v>797</v>
      </c>
      <c r="E798" s="45" t="s">
        <v>961</v>
      </c>
      <c r="F798" s="46" t="s">
        <v>2710</v>
      </c>
    </row>
    <row r="799" spans="1:6" ht="17">
      <c r="A799" s="15">
        <f t="shared" ca="1" si="34"/>
        <v>1549</v>
      </c>
      <c r="B799" s="16">
        <f t="shared" ca="1" si="35"/>
        <v>0.18056791314881881</v>
      </c>
      <c r="C799" s="17">
        <f>IF(AND(問題解答データベース!D799&gt;=小テスト!$C$6,D799&lt;=小テスト!$E$6),1,0)</f>
        <v>1</v>
      </c>
      <c r="D799" s="44">
        <f t="shared" si="36"/>
        <v>798</v>
      </c>
      <c r="E799" s="45" t="s">
        <v>962</v>
      </c>
      <c r="F799" s="46" t="s">
        <v>2711</v>
      </c>
    </row>
    <row r="800" spans="1:6" ht="17">
      <c r="A800" s="15">
        <f t="shared" ca="1" si="34"/>
        <v>213</v>
      </c>
      <c r="B800" s="16">
        <f t="shared" ca="1" si="35"/>
        <v>0.89564964243257095</v>
      </c>
      <c r="C800" s="17">
        <f>IF(AND(問題解答データベース!D800&gt;=小テスト!$C$6,D800&lt;=小テスト!$E$6),1,0)</f>
        <v>1</v>
      </c>
      <c r="D800" s="44">
        <f t="shared" si="36"/>
        <v>799</v>
      </c>
      <c r="E800" s="45" t="s">
        <v>963</v>
      </c>
      <c r="F800" s="46" t="s">
        <v>2712</v>
      </c>
    </row>
    <row r="801" spans="1:6" ht="17">
      <c r="A801" s="15">
        <f t="shared" ca="1" si="34"/>
        <v>641</v>
      </c>
      <c r="B801" s="16">
        <f t="shared" ca="1" si="35"/>
        <v>0.66121287754075841</v>
      </c>
      <c r="C801" s="17">
        <f>IF(AND(問題解答データベース!D801&gt;=小テスト!$C$6,D801&lt;=小テスト!$E$6),1,0)</f>
        <v>1</v>
      </c>
      <c r="D801" s="44">
        <f t="shared" si="36"/>
        <v>800</v>
      </c>
      <c r="E801" s="45" t="s">
        <v>964</v>
      </c>
      <c r="F801" s="46" t="s">
        <v>2713</v>
      </c>
    </row>
    <row r="802" spans="1:6" ht="17">
      <c r="A802" s="15">
        <f t="shared" ca="1" si="34"/>
        <v>527</v>
      </c>
      <c r="B802" s="16">
        <f t="shared" ca="1" si="35"/>
        <v>0.72625491313834978</v>
      </c>
      <c r="C802" s="17">
        <f>IF(AND(問題解答データベース!D802&gt;=小テスト!$C$6,D802&lt;=小テスト!$E$6),1,0)</f>
        <v>1</v>
      </c>
      <c r="D802" s="44">
        <f t="shared" si="36"/>
        <v>801</v>
      </c>
      <c r="E802" s="45" t="s">
        <v>965</v>
      </c>
      <c r="F802" s="46" t="s">
        <v>2632</v>
      </c>
    </row>
    <row r="803" spans="1:6" ht="17">
      <c r="A803" s="15">
        <f t="shared" ca="1" si="34"/>
        <v>1173</v>
      </c>
      <c r="B803" s="16">
        <f t="shared" ca="1" si="35"/>
        <v>0.38307568582064266</v>
      </c>
      <c r="C803" s="17">
        <f>IF(AND(問題解答データベース!D803&gt;=小テスト!$C$6,D803&lt;=小テスト!$E$6),1,0)</f>
        <v>1</v>
      </c>
      <c r="D803" s="44">
        <f t="shared" si="36"/>
        <v>802</v>
      </c>
      <c r="E803" s="45" t="s">
        <v>966</v>
      </c>
      <c r="F803" s="46" t="s">
        <v>2714</v>
      </c>
    </row>
    <row r="804" spans="1:6" ht="17">
      <c r="A804" s="15">
        <f t="shared" ca="1" si="34"/>
        <v>1110</v>
      </c>
      <c r="B804" s="16">
        <f t="shared" ca="1" si="35"/>
        <v>0.41885092760825848</v>
      </c>
      <c r="C804" s="17">
        <f>IF(AND(問題解答データベース!D804&gt;=小テスト!$C$6,D804&lt;=小テスト!$E$6),1,0)</f>
        <v>1</v>
      </c>
      <c r="D804" s="44">
        <f t="shared" si="36"/>
        <v>803</v>
      </c>
      <c r="E804" s="45" t="s">
        <v>967</v>
      </c>
      <c r="F804" s="46" t="s">
        <v>2715</v>
      </c>
    </row>
    <row r="805" spans="1:6" ht="17">
      <c r="A805" s="15">
        <f t="shared" ca="1" si="34"/>
        <v>315</v>
      </c>
      <c r="B805" s="16">
        <f t="shared" ca="1" si="35"/>
        <v>0.83226209704483789</v>
      </c>
      <c r="C805" s="17">
        <f>IF(AND(問題解答データベース!D805&gt;=小テスト!$C$6,D805&lt;=小テスト!$E$6),1,0)</f>
        <v>1</v>
      </c>
      <c r="D805" s="44">
        <f t="shared" si="36"/>
        <v>804</v>
      </c>
      <c r="E805" s="45" t="s">
        <v>968</v>
      </c>
      <c r="F805" s="46" t="s">
        <v>2716</v>
      </c>
    </row>
    <row r="806" spans="1:6" ht="17">
      <c r="A806" s="15">
        <f t="shared" ca="1" si="34"/>
        <v>44</v>
      </c>
      <c r="B806" s="16">
        <f t="shared" ca="1" si="35"/>
        <v>0.97594493368354784</v>
      </c>
      <c r="C806" s="17">
        <f>IF(AND(問題解答データベース!D806&gt;=小テスト!$C$6,D806&lt;=小テスト!$E$6),1,0)</f>
        <v>1</v>
      </c>
      <c r="D806" s="44">
        <f t="shared" si="36"/>
        <v>805</v>
      </c>
      <c r="E806" s="45" t="s">
        <v>969</v>
      </c>
      <c r="F806" s="46" t="s">
        <v>2717</v>
      </c>
    </row>
    <row r="807" spans="1:6" ht="17">
      <c r="A807" s="15">
        <f t="shared" ca="1" si="34"/>
        <v>750</v>
      </c>
      <c r="B807" s="16">
        <f t="shared" ca="1" si="35"/>
        <v>0.60124884410251822</v>
      </c>
      <c r="C807" s="17">
        <f>IF(AND(問題解答データベース!D807&gt;=小テスト!$C$6,D807&lt;=小テスト!$E$6),1,0)</f>
        <v>1</v>
      </c>
      <c r="D807" s="44">
        <f t="shared" si="36"/>
        <v>806</v>
      </c>
      <c r="E807" s="45" t="s">
        <v>970</v>
      </c>
      <c r="F807" s="46" t="s">
        <v>2718</v>
      </c>
    </row>
    <row r="808" spans="1:6" ht="17">
      <c r="A808" s="15">
        <f t="shared" ca="1" si="34"/>
        <v>522</v>
      </c>
      <c r="B808" s="16">
        <f t="shared" ca="1" si="35"/>
        <v>0.73059524019517563</v>
      </c>
      <c r="C808" s="17">
        <f>IF(AND(問題解答データベース!D808&gt;=小テスト!$C$6,D808&lt;=小テスト!$E$6),1,0)</f>
        <v>1</v>
      </c>
      <c r="D808" s="44">
        <f t="shared" si="36"/>
        <v>807</v>
      </c>
      <c r="E808" s="45" t="s">
        <v>971</v>
      </c>
      <c r="F808" s="46" t="s">
        <v>2719</v>
      </c>
    </row>
    <row r="809" spans="1:6" ht="17">
      <c r="A809" s="15">
        <f t="shared" ca="1" si="34"/>
        <v>1468</v>
      </c>
      <c r="B809" s="16">
        <f t="shared" ca="1" si="35"/>
        <v>0.22353818955535754</v>
      </c>
      <c r="C809" s="17">
        <f>IF(AND(問題解答データベース!D809&gt;=小テスト!$C$6,D809&lt;=小テスト!$E$6),1,0)</f>
        <v>1</v>
      </c>
      <c r="D809" s="44">
        <f t="shared" si="36"/>
        <v>808</v>
      </c>
      <c r="E809" s="45" t="s">
        <v>972</v>
      </c>
      <c r="F809" s="46" t="s">
        <v>2720</v>
      </c>
    </row>
    <row r="810" spans="1:6" ht="17">
      <c r="A810" s="15">
        <f t="shared" ca="1" si="34"/>
        <v>1567</v>
      </c>
      <c r="B810" s="16">
        <f t="shared" ca="1" si="35"/>
        <v>0.16905467524928075</v>
      </c>
      <c r="C810" s="17">
        <f>IF(AND(問題解答データベース!D810&gt;=小テスト!$C$6,D810&lt;=小テスト!$E$6),1,0)</f>
        <v>1</v>
      </c>
      <c r="D810" s="44">
        <f t="shared" si="36"/>
        <v>809</v>
      </c>
      <c r="E810" s="45" t="s">
        <v>973</v>
      </c>
      <c r="F810" s="46" t="s">
        <v>2721</v>
      </c>
    </row>
    <row r="811" spans="1:6" ht="17">
      <c r="A811" s="15">
        <f t="shared" ca="1" si="34"/>
        <v>1544</v>
      </c>
      <c r="B811" s="16">
        <f t="shared" ca="1" si="35"/>
        <v>0.18155773883488791</v>
      </c>
      <c r="C811" s="17">
        <f>IF(AND(問題解答データベース!D811&gt;=小テスト!$C$6,D811&lt;=小テスト!$E$6),1,0)</f>
        <v>1</v>
      </c>
      <c r="D811" s="44">
        <f t="shared" si="36"/>
        <v>810</v>
      </c>
      <c r="E811" s="45" t="s">
        <v>974</v>
      </c>
      <c r="F811" s="46" t="s">
        <v>2722</v>
      </c>
    </row>
    <row r="812" spans="1:6" ht="17">
      <c r="A812" s="15">
        <f t="shared" ca="1" si="34"/>
        <v>1435</v>
      </c>
      <c r="B812" s="16">
        <f t="shared" ca="1" si="35"/>
        <v>0.24560193487382598</v>
      </c>
      <c r="C812" s="17">
        <f>IF(AND(問題解答データベース!D812&gt;=小テスト!$C$6,D812&lt;=小テスト!$E$6),1,0)</f>
        <v>1</v>
      </c>
      <c r="D812" s="44">
        <f t="shared" si="36"/>
        <v>811</v>
      </c>
      <c r="E812" s="45" t="s">
        <v>975</v>
      </c>
      <c r="F812" s="46" t="s">
        <v>2723</v>
      </c>
    </row>
    <row r="813" spans="1:6" ht="17">
      <c r="A813" s="15">
        <f t="shared" ca="1" si="34"/>
        <v>37</v>
      </c>
      <c r="B813" s="16">
        <f t="shared" ca="1" si="35"/>
        <v>0.97987898851167432</v>
      </c>
      <c r="C813" s="17">
        <f>IF(AND(問題解答データベース!D813&gt;=小テスト!$C$6,D813&lt;=小テスト!$E$6),1,0)</f>
        <v>1</v>
      </c>
      <c r="D813" s="44">
        <f t="shared" si="36"/>
        <v>812</v>
      </c>
      <c r="E813" s="45" t="s">
        <v>976</v>
      </c>
      <c r="F813" s="46" t="s">
        <v>2724</v>
      </c>
    </row>
    <row r="814" spans="1:6" ht="17">
      <c r="A814" s="15">
        <f t="shared" ca="1" si="34"/>
        <v>826</v>
      </c>
      <c r="B814" s="16">
        <f t="shared" ca="1" si="35"/>
        <v>0.56059344765413721</v>
      </c>
      <c r="C814" s="17">
        <f>IF(AND(問題解答データベース!D814&gt;=小テスト!$C$6,D814&lt;=小テスト!$E$6),1,0)</f>
        <v>1</v>
      </c>
      <c r="D814" s="44">
        <f t="shared" si="36"/>
        <v>813</v>
      </c>
      <c r="E814" s="45" t="s">
        <v>977</v>
      </c>
      <c r="F814" s="46" t="s">
        <v>2725</v>
      </c>
    </row>
    <row r="815" spans="1:6" ht="17">
      <c r="A815" s="15">
        <f t="shared" ca="1" si="34"/>
        <v>1508</v>
      </c>
      <c r="B815" s="16">
        <f t="shared" ca="1" si="35"/>
        <v>0.19734714189502212</v>
      </c>
      <c r="C815" s="17">
        <f>IF(AND(問題解答データベース!D815&gt;=小テスト!$C$6,D815&lt;=小テスト!$E$6),1,0)</f>
        <v>1</v>
      </c>
      <c r="D815" s="44">
        <f t="shared" si="36"/>
        <v>814</v>
      </c>
      <c r="E815" s="45" t="s">
        <v>978</v>
      </c>
      <c r="F815" s="46" t="s">
        <v>2726</v>
      </c>
    </row>
    <row r="816" spans="1:6" ht="17">
      <c r="A816" s="15">
        <f t="shared" ca="1" si="34"/>
        <v>982</v>
      </c>
      <c r="B816" s="16">
        <f t="shared" ca="1" si="35"/>
        <v>0.48581662571637829</v>
      </c>
      <c r="C816" s="17">
        <f>IF(AND(問題解答データベース!D816&gt;=小テスト!$C$6,D816&lt;=小テスト!$E$6),1,0)</f>
        <v>1</v>
      </c>
      <c r="D816" s="44">
        <f t="shared" si="36"/>
        <v>815</v>
      </c>
      <c r="E816" s="45" t="s">
        <v>979</v>
      </c>
      <c r="F816" s="46" t="s">
        <v>2727</v>
      </c>
    </row>
    <row r="817" spans="1:6" ht="17">
      <c r="A817" s="15">
        <f t="shared" ca="1" si="34"/>
        <v>1513</v>
      </c>
      <c r="B817" s="16">
        <f t="shared" ca="1" si="35"/>
        <v>0.19663445298251292</v>
      </c>
      <c r="C817" s="17">
        <f>IF(AND(問題解答データベース!D817&gt;=小テスト!$C$6,D817&lt;=小テスト!$E$6),1,0)</f>
        <v>1</v>
      </c>
      <c r="D817" s="44">
        <f t="shared" si="36"/>
        <v>816</v>
      </c>
      <c r="E817" s="45" t="s">
        <v>980</v>
      </c>
      <c r="F817" s="46" t="s">
        <v>2728</v>
      </c>
    </row>
    <row r="818" spans="1:6" ht="17">
      <c r="A818" s="15">
        <f t="shared" ca="1" si="34"/>
        <v>215</v>
      </c>
      <c r="B818" s="16">
        <f t="shared" ca="1" si="35"/>
        <v>0.89457937391107256</v>
      </c>
      <c r="C818" s="17">
        <f>IF(AND(問題解答データベース!D818&gt;=小テスト!$C$6,D818&lt;=小テスト!$E$6),1,0)</f>
        <v>1</v>
      </c>
      <c r="D818" s="44">
        <f t="shared" si="36"/>
        <v>817</v>
      </c>
      <c r="E818" s="45" t="s">
        <v>981</v>
      </c>
      <c r="F818" s="46" t="s">
        <v>2729</v>
      </c>
    </row>
    <row r="819" spans="1:6" ht="17">
      <c r="A819" s="15">
        <f t="shared" ca="1" si="34"/>
        <v>1032</v>
      </c>
      <c r="B819" s="16">
        <f t="shared" ca="1" si="35"/>
        <v>0.46624259048583327</v>
      </c>
      <c r="C819" s="17">
        <f>IF(AND(問題解答データベース!D819&gt;=小テスト!$C$6,D819&lt;=小テスト!$E$6),1,0)</f>
        <v>1</v>
      </c>
      <c r="D819" s="44">
        <f t="shared" si="36"/>
        <v>818</v>
      </c>
      <c r="E819" s="45" t="s">
        <v>982</v>
      </c>
      <c r="F819" s="46" t="s">
        <v>2730</v>
      </c>
    </row>
    <row r="820" spans="1:6" ht="17">
      <c r="A820" s="15">
        <f t="shared" ca="1" si="34"/>
        <v>1478</v>
      </c>
      <c r="B820" s="16">
        <f t="shared" ca="1" si="35"/>
        <v>0.21798045562172097</v>
      </c>
      <c r="C820" s="17">
        <f>IF(AND(問題解答データベース!D820&gt;=小テスト!$C$6,D820&lt;=小テスト!$E$6),1,0)</f>
        <v>1</v>
      </c>
      <c r="D820" s="44">
        <f t="shared" si="36"/>
        <v>819</v>
      </c>
      <c r="E820" s="45" t="s">
        <v>983</v>
      </c>
      <c r="F820" s="46" t="s">
        <v>2731</v>
      </c>
    </row>
    <row r="821" spans="1:6" ht="17">
      <c r="A821" s="15">
        <f t="shared" ca="1" si="34"/>
        <v>1192</v>
      </c>
      <c r="B821" s="16">
        <f t="shared" ca="1" si="35"/>
        <v>0.37142202781595102</v>
      </c>
      <c r="C821" s="17">
        <f>IF(AND(問題解答データベース!D821&gt;=小テスト!$C$6,D821&lt;=小テスト!$E$6),1,0)</f>
        <v>1</v>
      </c>
      <c r="D821" s="44">
        <f t="shared" si="36"/>
        <v>820</v>
      </c>
      <c r="E821" s="45" t="s">
        <v>984</v>
      </c>
      <c r="F821" s="46" t="s">
        <v>2732</v>
      </c>
    </row>
    <row r="822" spans="1:6" ht="17">
      <c r="A822" s="15">
        <f t="shared" ca="1" si="34"/>
        <v>751</v>
      </c>
      <c r="B822" s="16">
        <f t="shared" ca="1" si="35"/>
        <v>0.60123972303874573</v>
      </c>
      <c r="C822" s="17">
        <f>IF(AND(問題解答データベース!D822&gt;=小テスト!$C$6,D822&lt;=小テスト!$E$6),1,0)</f>
        <v>1</v>
      </c>
      <c r="D822" s="44">
        <f t="shared" si="36"/>
        <v>821</v>
      </c>
      <c r="E822" s="45" t="s">
        <v>985</v>
      </c>
      <c r="F822" s="46" t="s">
        <v>2733</v>
      </c>
    </row>
    <row r="823" spans="1:6" ht="17">
      <c r="A823" s="15">
        <f t="shared" ca="1" si="34"/>
        <v>1719</v>
      </c>
      <c r="B823" s="16">
        <f t="shared" ca="1" si="35"/>
        <v>8.9563234885988052E-2</v>
      </c>
      <c r="C823" s="17">
        <f>IF(AND(問題解答データベース!D823&gt;=小テスト!$C$6,D823&lt;=小テスト!$E$6),1,0)</f>
        <v>1</v>
      </c>
      <c r="D823" s="44">
        <f t="shared" si="36"/>
        <v>822</v>
      </c>
      <c r="E823" s="45" t="s">
        <v>986</v>
      </c>
      <c r="F823" s="46" t="s">
        <v>2734</v>
      </c>
    </row>
    <row r="824" spans="1:6" ht="17">
      <c r="A824" s="15">
        <f t="shared" ca="1" si="34"/>
        <v>1623</v>
      </c>
      <c r="B824" s="16">
        <f t="shared" ca="1" si="35"/>
        <v>0.14566937147003856</v>
      </c>
      <c r="C824" s="17">
        <f>IF(AND(問題解答データベース!D824&gt;=小テスト!$C$6,D824&lt;=小テスト!$E$6),1,0)</f>
        <v>1</v>
      </c>
      <c r="D824" s="44">
        <f t="shared" si="36"/>
        <v>823</v>
      </c>
      <c r="E824" s="45" t="s">
        <v>987</v>
      </c>
      <c r="F824" s="46" t="s">
        <v>2735</v>
      </c>
    </row>
    <row r="825" spans="1:6" ht="17">
      <c r="A825" s="15">
        <f t="shared" ca="1" si="34"/>
        <v>1179</v>
      </c>
      <c r="B825" s="16">
        <f t="shared" ca="1" si="35"/>
        <v>0.37831640620147533</v>
      </c>
      <c r="C825" s="17">
        <f>IF(AND(問題解答データベース!D825&gt;=小テスト!$C$6,D825&lt;=小テスト!$E$6),1,0)</f>
        <v>1</v>
      </c>
      <c r="D825" s="44">
        <f t="shared" si="36"/>
        <v>824</v>
      </c>
      <c r="E825" s="45" t="s">
        <v>988</v>
      </c>
      <c r="F825" s="46" t="s">
        <v>2736</v>
      </c>
    </row>
    <row r="826" spans="1:6" ht="17">
      <c r="A826" s="15">
        <f t="shared" ca="1" si="34"/>
        <v>1412</v>
      </c>
      <c r="B826" s="16">
        <f t="shared" ca="1" si="35"/>
        <v>0.25952207913053771</v>
      </c>
      <c r="C826" s="17">
        <f>IF(AND(問題解答データベース!D826&gt;=小テスト!$C$6,D826&lt;=小テスト!$E$6),1,0)</f>
        <v>1</v>
      </c>
      <c r="D826" s="44">
        <f t="shared" si="36"/>
        <v>825</v>
      </c>
      <c r="E826" s="45" t="s">
        <v>989</v>
      </c>
      <c r="F826" s="46" t="s">
        <v>2737</v>
      </c>
    </row>
    <row r="827" spans="1:6" ht="17">
      <c r="A827" s="15">
        <f t="shared" ca="1" si="34"/>
        <v>472</v>
      </c>
      <c r="B827" s="16">
        <f t="shared" ca="1" si="35"/>
        <v>0.75636162927906558</v>
      </c>
      <c r="C827" s="17">
        <f>IF(AND(問題解答データベース!D827&gt;=小テスト!$C$6,D827&lt;=小テスト!$E$6),1,0)</f>
        <v>1</v>
      </c>
      <c r="D827" s="44">
        <f t="shared" si="36"/>
        <v>826</v>
      </c>
      <c r="E827" s="45" t="s">
        <v>990</v>
      </c>
      <c r="F827" s="46" t="s">
        <v>2738</v>
      </c>
    </row>
    <row r="828" spans="1:6" ht="17">
      <c r="A828" s="15">
        <f t="shared" ca="1" si="34"/>
        <v>1856</v>
      </c>
      <c r="B828" s="16">
        <f t="shared" ca="1" si="35"/>
        <v>2.0105699906117103E-2</v>
      </c>
      <c r="C828" s="17">
        <f>IF(AND(問題解答データベース!D828&gt;=小テスト!$C$6,D828&lt;=小テスト!$E$6),1,0)</f>
        <v>1</v>
      </c>
      <c r="D828" s="44">
        <f t="shared" si="36"/>
        <v>827</v>
      </c>
      <c r="E828" s="45" t="s">
        <v>991</v>
      </c>
      <c r="F828" s="46" t="s">
        <v>2739</v>
      </c>
    </row>
    <row r="829" spans="1:6" ht="17">
      <c r="A829" s="15">
        <f t="shared" ca="1" si="34"/>
        <v>604</v>
      </c>
      <c r="B829" s="16">
        <f t="shared" ca="1" si="35"/>
        <v>0.68135707213045293</v>
      </c>
      <c r="C829" s="17">
        <f>IF(AND(問題解答データベース!D829&gt;=小テスト!$C$6,D829&lt;=小テスト!$E$6),1,0)</f>
        <v>1</v>
      </c>
      <c r="D829" s="44">
        <f t="shared" si="36"/>
        <v>828</v>
      </c>
      <c r="E829" s="45" t="s">
        <v>992</v>
      </c>
      <c r="F829" s="46" t="s">
        <v>2740</v>
      </c>
    </row>
    <row r="830" spans="1:6" ht="17">
      <c r="A830" s="15">
        <f t="shared" ca="1" si="34"/>
        <v>960</v>
      </c>
      <c r="B830" s="16">
        <f t="shared" ca="1" si="35"/>
        <v>0.49425352430858382</v>
      </c>
      <c r="C830" s="17">
        <f>IF(AND(問題解答データベース!D830&gt;=小テスト!$C$6,D830&lt;=小テスト!$E$6),1,0)</f>
        <v>1</v>
      </c>
      <c r="D830" s="44">
        <f t="shared" si="36"/>
        <v>829</v>
      </c>
      <c r="E830" s="45" t="s">
        <v>993</v>
      </c>
      <c r="F830" s="46" t="s">
        <v>2741</v>
      </c>
    </row>
    <row r="831" spans="1:6" ht="17">
      <c r="A831" s="15">
        <f t="shared" ca="1" si="34"/>
        <v>1872</v>
      </c>
      <c r="B831" s="16">
        <f t="shared" ca="1" si="35"/>
        <v>1.3034226710253893E-2</v>
      </c>
      <c r="C831" s="17">
        <f>IF(AND(問題解答データベース!D831&gt;=小テスト!$C$6,D831&lt;=小テスト!$E$6),1,0)</f>
        <v>1</v>
      </c>
      <c r="D831" s="44">
        <f t="shared" si="36"/>
        <v>830</v>
      </c>
      <c r="E831" s="45" t="s">
        <v>994</v>
      </c>
      <c r="F831" s="46" t="s">
        <v>2742</v>
      </c>
    </row>
    <row r="832" spans="1:6" ht="17">
      <c r="A832" s="15">
        <f t="shared" ca="1" si="34"/>
        <v>1505</v>
      </c>
      <c r="B832" s="16">
        <f t="shared" ca="1" si="35"/>
        <v>0.19890300140011097</v>
      </c>
      <c r="C832" s="17">
        <f>IF(AND(問題解答データベース!D832&gt;=小テスト!$C$6,D832&lt;=小テスト!$E$6),1,0)</f>
        <v>1</v>
      </c>
      <c r="D832" s="44">
        <f t="shared" si="36"/>
        <v>831</v>
      </c>
      <c r="E832" s="45" t="s">
        <v>995</v>
      </c>
      <c r="F832" s="46" t="s">
        <v>2743</v>
      </c>
    </row>
    <row r="833" spans="1:6" ht="17">
      <c r="A833" s="15">
        <f t="shared" ca="1" si="34"/>
        <v>431</v>
      </c>
      <c r="B833" s="16">
        <f t="shared" ca="1" si="35"/>
        <v>0.7713677567908257</v>
      </c>
      <c r="C833" s="17">
        <f>IF(AND(問題解答データベース!D833&gt;=小テスト!$C$6,D833&lt;=小テスト!$E$6),1,0)</f>
        <v>1</v>
      </c>
      <c r="D833" s="44">
        <f t="shared" si="36"/>
        <v>832</v>
      </c>
      <c r="E833" s="45" t="s">
        <v>996</v>
      </c>
      <c r="F833" s="46" t="s">
        <v>2744</v>
      </c>
    </row>
    <row r="834" spans="1:6" ht="17">
      <c r="A834" s="15">
        <f t="shared" ca="1" si="34"/>
        <v>1713</v>
      </c>
      <c r="B834" s="16">
        <f t="shared" ca="1" si="35"/>
        <v>9.370490173671675E-2</v>
      </c>
      <c r="C834" s="17">
        <f>IF(AND(問題解答データベース!D834&gt;=小テスト!$C$6,D834&lt;=小テスト!$E$6),1,0)</f>
        <v>1</v>
      </c>
      <c r="D834" s="44">
        <f t="shared" si="36"/>
        <v>833</v>
      </c>
      <c r="E834" s="45" t="s">
        <v>997</v>
      </c>
      <c r="F834" s="46" t="s">
        <v>2745</v>
      </c>
    </row>
    <row r="835" spans="1:6" ht="17">
      <c r="A835" s="15">
        <f t="shared" ref="A835:A898" ca="1" si="37">RANK(B835,$B$2:$B$1901,0)</f>
        <v>255</v>
      </c>
      <c r="B835" s="16">
        <f t="shared" ca="1" si="35"/>
        <v>0.86694942516219076</v>
      </c>
      <c r="C835" s="17">
        <f>IF(AND(問題解答データベース!D835&gt;=小テスト!$C$6,D835&lt;=小テスト!$E$6),1,0)</f>
        <v>1</v>
      </c>
      <c r="D835" s="44">
        <f t="shared" si="36"/>
        <v>834</v>
      </c>
      <c r="E835" s="45" t="s">
        <v>998</v>
      </c>
      <c r="F835" s="46" t="s">
        <v>2746</v>
      </c>
    </row>
    <row r="836" spans="1:6" ht="17">
      <c r="A836" s="15">
        <f t="shared" ca="1" si="37"/>
        <v>199</v>
      </c>
      <c r="B836" s="16">
        <f t="shared" ca="1" si="35"/>
        <v>0.9028016334136042</v>
      </c>
      <c r="C836" s="17">
        <f>IF(AND(問題解答データベース!D836&gt;=小テスト!$C$6,D836&lt;=小テスト!$E$6),1,0)</f>
        <v>1</v>
      </c>
      <c r="D836" s="44">
        <f t="shared" si="36"/>
        <v>835</v>
      </c>
      <c r="E836" s="45" t="s">
        <v>999</v>
      </c>
      <c r="F836" s="46" t="s">
        <v>2747</v>
      </c>
    </row>
    <row r="837" spans="1:6" ht="17">
      <c r="A837" s="15">
        <f t="shared" ca="1" si="37"/>
        <v>58</v>
      </c>
      <c r="B837" s="16">
        <f t="shared" ca="1" si="35"/>
        <v>0.9699997536542645</v>
      </c>
      <c r="C837" s="17">
        <f>IF(AND(問題解答データベース!D837&gt;=小テスト!$C$6,D837&lt;=小テスト!$E$6),1,0)</f>
        <v>1</v>
      </c>
      <c r="D837" s="44">
        <f t="shared" si="36"/>
        <v>836</v>
      </c>
      <c r="E837" s="45" t="s">
        <v>1000</v>
      </c>
      <c r="F837" s="46" t="s">
        <v>2748</v>
      </c>
    </row>
    <row r="838" spans="1:6" ht="17">
      <c r="A838" s="15">
        <f t="shared" ca="1" si="37"/>
        <v>1706</v>
      </c>
      <c r="B838" s="16">
        <f t="shared" ca="1" si="35"/>
        <v>9.7984259100322046E-2</v>
      </c>
      <c r="C838" s="17">
        <f>IF(AND(問題解答データベース!D838&gt;=小テスト!$C$6,D838&lt;=小テスト!$E$6),1,0)</f>
        <v>1</v>
      </c>
      <c r="D838" s="44">
        <f t="shared" si="36"/>
        <v>837</v>
      </c>
      <c r="E838" s="45" t="s">
        <v>1001</v>
      </c>
      <c r="F838" s="46" t="s">
        <v>2749</v>
      </c>
    </row>
    <row r="839" spans="1:6" ht="17">
      <c r="A839" s="15">
        <f t="shared" ca="1" si="37"/>
        <v>231</v>
      </c>
      <c r="B839" s="16">
        <f t="shared" ca="1" si="35"/>
        <v>0.88199678138789939</v>
      </c>
      <c r="C839" s="17">
        <f>IF(AND(問題解答データベース!D839&gt;=小テスト!$C$6,D839&lt;=小テスト!$E$6),1,0)</f>
        <v>1</v>
      </c>
      <c r="D839" s="44">
        <f t="shared" si="36"/>
        <v>838</v>
      </c>
      <c r="E839" s="45" t="s">
        <v>1002</v>
      </c>
      <c r="F839" s="46" t="s">
        <v>2750</v>
      </c>
    </row>
    <row r="840" spans="1:6" ht="17">
      <c r="A840" s="15">
        <f t="shared" ca="1" si="37"/>
        <v>620</v>
      </c>
      <c r="B840" s="16">
        <f t="shared" ca="1" si="35"/>
        <v>0.67309895099449368</v>
      </c>
      <c r="C840" s="17">
        <f>IF(AND(問題解答データベース!D840&gt;=小テスト!$C$6,D840&lt;=小テスト!$E$6),1,0)</f>
        <v>1</v>
      </c>
      <c r="D840" s="44">
        <f t="shared" si="36"/>
        <v>839</v>
      </c>
      <c r="E840" s="45" t="s">
        <v>1003</v>
      </c>
      <c r="F840" s="46" t="s">
        <v>2751</v>
      </c>
    </row>
    <row r="841" spans="1:6" ht="17">
      <c r="A841" s="15">
        <f t="shared" ca="1" si="37"/>
        <v>1006</v>
      </c>
      <c r="B841" s="16">
        <f t="shared" ca="1" si="35"/>
        <v>0.47565749098143584</v>
      </c>
      <c r="C841" s="17">
        <f>IF(AND(問題解答データベース!D841&gt;=小テスト!$C$6,D841&lt;=小テスト!$E$6),1,0)</f>
        <v>1</v>
      </c>
      <c r="D841" s="44">
        <f t="shared" si="36"/>
        <v>840</v>
      </c>
      <c r="E841" s="45" t="s">
        <v>1004</v>
      </c>
      <c r="F841" s="46" t="s">
        <v>2752</v>
      </c>
    </row>
    <row r="842" spans="1:6" ht="17">
      <c r="A842" s="15">
        <f t="shared" ca="1" si="37"/>
        <v>325</v>
      </c>
      <c r="B842" s="16">
        <f t="shared" ref="B842:B905" ca="1" si="38">IF(C842=1,RAND(),0)</f>
        <v>0.82513559957067817</v>
      </c>
      <c r="C842" s="17">
        <f>IF(AND(問題解答データベース!D842&gt;=小テスト!$C$6,D842&lt;=小テスト!$E$6),1,0)</f>
        <v>1</v>
      </c>
      <c r="D842" s="44">
        <f t="shared" si="36"/>
        <v>841</v>
      </c>
      <c r="E842" s="45" t="s">
        <v>1005</v>
      </c>
      <c r="F842" s="46" t="s">
        <v>2753</v>
      </c>
    </row>
    <row r="843" spans="1:6" ht="17">
      <c r="A843" s="15">
        <f t="shared" ca="1" si="37"/>
        <v>312</v>
      </c>
      <c r="B843" s="16">
        <f t="shared" ca="1" si="38"/>
        <v>0.8352808477840632</v>
      </c>
      <c r="C843" s="17">
        <f>IF(AND(問題解答データベース!D843&gt;=小テスト!$C$6,D843&lt;=小テスト!$E$6),1,0)</f>
        <v>1</v>
      </c>
      <c r="D843" s="44">
        <f t="shared" si="36"/>
        <v>842</v>
      </c>
      <c r="E843" s="45" t="s">
        <v>1006</v>
      </c>
      <c r="F843" s="46" t="s">
        <v>2754</v>
      </c>
    </row>
    <row r="844" spans="1:6" ht="17">
      <c r="A844" s="15">
        <f t="shared" ca="1" si="37"/>
        <v>222</v>
      </c>
      <c r="B844" s="16">
        <f t="shared" ca="1" si="38"/>
        <v>0.89136012095497319</v>
      </c>
      <c r="C844" s="17">
        <f>IF(AND(問題解答データベース!D844&gt;=小テスト!$C$6,D844&lt;=小テスト!$E$6),1,0)</f>
        <v>1</v>
      </c>
      <c r="D844" s="44">
        <f t="shared" si="36"/>
        <v>843</v>
      </c>
      <c r="E844" s="45" t="s">
        <v>1007</v>
      </c>
      <c r="F844" s="46" t="s">
        <v>2755</v>
      </c>
    </row>
    <row r="845" spans="1:6" ht="17">
      <c r="A845" s="15">
        <f t="shared" ca="1" si="37"/>
        <v>616</v>
      </c>
      <c r="B845" s="16">
        <f t="shared" ca="1" si="38"/>
        <v>0.67588000546815663</v>
      </c>
      <c r="C845" s="17">
        <f>IF(AND(問題解答データベース!D845&gt;=小テスト!$C$6,D845&lt;=小テスト!$E$6),1,0)</f>
        <v>1</v>
      </c>
      <c r="D845" s="44">
        <f t="shared" ref="D845:D908" si="39">D844+1</f>
        <v>844</v>
      </c>
      <c r="E845" s="45" t="s">
        <v>1008</v>
      </c>
      <c r="F845" s="46" t="s">
        <v>2756</v>
      </c>
    </row>
    <row r="846" spans="1:6" ht="17">
      <c r="A846" s="15">
        <f t="shared" ca="1" si="37"/>
        <v>1114</v>
      </c>
      <c r="B846" s="16">
        <f t="shared" ca="1" si="38"/>
        <v>0.41550446077829306</v>
      </c>
      <c r="C846" s="17">
        <f>IF(AND(問題解答データベース!D846&gt;=小テスト!$C$6,D846&lt;=小テスト!$E$6),1,0)</f>
        <v>1</v>
      </c>
      <c r="D846" s="44">
        <f t="shared" si="39"/>
        <v>845</v>
      </c>
      <c r="E846" s="45" t="s">
        <v>1009</v>
      </c>
      <c r="F846" s="46" t="s">
        <v>2757</v>
      </c>
    </row>
    <row r="847" spans="1:6" ht="17">
      <c r="A847" s="15">
        <f t="shared" ca="1" si="37"/>
        <v>835</v>
      </c>
      <c r="B847" s="16">
        <f t="shared" ca="1" si="38"/>
        <v>0.55478833173914543</v>
      </c>
      <c r="C847" s="17">
        <f>IF(AND(問題解答データベース!D847&gt;=小テスト!$C$6,D847&lt;=小テスト!$E$6),1,0)</f>
        <v>1</v>
      </c>
      <c r="D847" s="44">
        <f t="shared" si="39"/>
        <v>846</v>
      </c>
      <c r="E847" s="45" t="s">
        <v>1010</v>
      </c>
      <c r="F847" s="46" t="s">
        <v>2758</v>
      </c>
    </row>
    <row r="848" spans="1:6" ht="17">
      <c r="A848" s="15">
        <f t="shared" ca="1" si="37"/>
        <v>1820</v>
      </c>
      <c r="B848" s="16">
        <f t="shared" ca="1" si="38"/>
        <v>3.9877042962878195E-2</v>
      </c>
      <c r="C848" s="17">
        <f>IF(AND(問題解答データベース!D848&gt;=小テスト!$C$6,D848&lt;=小テスト!$E$6),1,0)</f>
        <v>1</v>
      </c>
      <c r="D848" s="44">
        <f t="shared" si="39"/>
        <v>847</v>
      </c>
      <c r="E848" s="45" t="s">
        <v>1011</v>
      </c>
      <c r="F848" s="46" t="s">
        <v>2759</v>
      </c>
    </row>
    <row r="849" spans="1:6" ht="17">
      <c r="A849" s="15">
        <f t="shared" ca="1" si="37"/>
        <v>1325</v>
      </c>
      <c r="B849" s="16">
        <f t="shared" ca="1" si="38"/>
        <v>0.30526468084577707</v>
      </c>
      <c r="C849" s="17">
        <f>IF(AND(問題解答データベース!D849&gt;=小テスト!$C$6,D849&lt;=小テスト!$E$6),1,0)</f>
        <v>1</v>
      </c>
      <c r="D849" s="44">
        <f t="shared" si="39"/>
        <v>848</v>
      </c>
      <c r="E849" s="45" t="s">
        <v>1012</v>
      </c>
      <c r="F849" s="46" t="s">
        <v>2760</v>
      </c>
    </row>
    <row r="850" spans="1:6" ht="17">
      <c r="A850" s="15">
        <f t="shared" ca="1" si="37"/>
        <v>1193</v>
      </c>
      <c r="B850" s="16">
        <f t="shared" ca="1" si="38"/>
        <v>0.37091501930035509</v>
      </c>
      <c r="C850" s="17">
        <f>IF(AND(問題解答データベース!D850&gt;=小テスト!$C$6,D850&lt;=小テスト!$E$6),1,0)</f>
        <v>1</v>
      </c>
      <c r="D850" s="44">
        <f t="shared" si="39"/>
        <v>849</v>
      </c>
      <c r="E850" s="45" t="s">
        <v>1013</v>
      </c>
      <c r="F850" s="46" t="s">
        <v>2761</v>
      </c>
    </row>
    <row r="851" spans="1:6" ht="17">
      <c r="A851" s="15">
        <f t="shared" ca="1" si="37"/>
        <v>342</v>
      </c>
      <c r="B851" s="16">
        <f t="shared" ca="1" si="38"/>
        <v>0.81683610231462522</v>
      </c>
      <c r="C851" s="17">
        <f>IF(AND(問題解答データベース!D851&gt;=小テスト!$C$6,D851&lt;=小テスト!$E$6),1,0)</f>
        <v>1</v>
      </c>
      <c r="D851" s="44">
        <f t="shared" si="39"/>
        <v>850</v>
      </c>
      <c r="E851" s="45" t="s">
        <v>1014</v>
      </c>
      <c r="F851" s="46" t="s">
        <v>2762</v>
      </c>
    </row>
    <row r="852" spans="1:6" ht="17">
      <c r="A852" s="15">
        <f t="shared" ca="1" si="37"/>
        <v>943</v>
      </c>
      <c r="B852" s="16">
        <f t="shared" ca="1" si="38"/>
        <v>0.50334171477755785</v>
      </c>
      <c r="C852" s="17">
        <f>IF(AND(問題解答データベース!D852&gt;=小テスト!$C$6,D852&lt;=小テスト!$E$6),1,0)</f>
        <v>1</v>
      </c>
      <c r="D852" s="44">
        <f t="shared" si="39"/>
        <v>851</v>
      </c>
      <c r="E852" s="45" t="s">
        <v>1015</v>
      </c>
      <c r="F852" s="46" t="s">
        <v>2763</v>
      </c>
    </row>
    <row r="853" spans="1:6" ht="17">
      <c r="A853" s="15">
        <f t="shared" ca="1" si="37"/>
        <v>665</v>
      </c>
      <c r="B853" s="16">
        <f t="shared" ca="1" si="38"/>
        <v>0.65088839965771517</v>
      </c>
      <c r="C853" s="17">
        <f>IF(AND(問題解答データベース!D853&gt;=小テスト!$C$6,D853&lt;=小テスト!$E$6),1,0)</f>
        <v>1</v>
      </c>
      <c r="D853" s="44">
        <f t="shared" si="39"/>
        <v>852</v>
      </c>
      <c r="E853" s="45" t="s">
        <v>1016</v>
      </c>
      <c r="F853" s="46" t="s">
        <v>2764</v>
      </c>
    </row>
    <row r="854" spans="1:6" ht="17">
      <c r="A854" s="15">
        <f t="shared" ca="1" si="37"/>
        <v>1237</v>
      </c>
      <c r="B854" s="16">
        <f t="shared" ca="1" si="38"/>
        <v>0.35817422997212223</v>
      </c>
      <c r="C854" s="17">
        <f>IF(AND(問題解答データベース!D854&gt;=小テスト!$C$6,D854&lt;=小テスト!$E$6),1,0)</f>
        <v>1</v>
      </c>
      <c r="D854" s="44">
        <f t="shared" si="39"/>
        <v>853</v>
      </c>
      <c r="E854" s="45" t="s">
        <v>1017</v>
      </c>
      <c r="F854" s="46" t="s">
        <v>2765</v>
      </c>
    </row>
    <row r="855" spans="1:6" ht="17">
      <c r="A855" s="15">
        <f t="shared" ca="1" si="37"/>
        <v>605</v>
      </c>
      <c r="B855" s="16">
        <f t="shared" ca="1" si="38"/>
        <v>0.6808918614642071</v>
      </c>
      <c r="C855" s="17">
        <f>IF(AND(問題解答データベース!D855&gt;=小テスト!$C$6,D855&lt;=小テスト!$E$6),1,0)</f>
        <v>1</v>
      </c>
      <c r="D855" s="44">
        <f t="shared" si="39"/>
        <v>854</v>
      </c>
      <c r="E855" s="45" t="s">
        <v>1018</v>
      </c>
      <c r="F855" s="46" t="s">
        <v>2766</v>
      </c>
    </row>
    <row r="856" spans="1:6" ht="17">
      <c r="A856" s="15">
        <f t="shared" ca="1" si="37"/>
        <v>1499</v>
      </c>
      <c r="B856" s="16">
        <f t="shared" ca="1" si="38"/>
        <v>0.20117592143210816</v>
      </c>
      <c r="C856" s="17">
        <f>IF(AND(問題解答データベース!D856&gt;=小テスト!$C$6,D856&lt;=小テスト!$E$6),1,0)</f>
        <v>1</v>
      </c>
      <c r="D856" s="44">
        <f t="shared" si="39"/>
        <v>855</v>
      </c>
      <c r="E856" s="45" t="s">
        <v>1019</v>
      </c>
      <c r="F856" s="46" t="s">
        <v>2767</v>
      </c>
    </row>
    <row r="857" spans="1:6" ht="17">
      <c r="A857" s="15">
        <f t="shared" ca="1" si="37"/>
        <v>1859</v>
      </c>
      <c r="B857" s="16">
        <f t="shared" ca="1" si="38"/>
        <v>1.8645246306471464E-2</v>
      </c>
      <c r="C857" s="17">
        <f>IF(AND(問題解答データベース!D857&gt;=小テスト!$C$6,D857&lt;=小テスト!$E$6),1,0)</f>
        <v>1</v>
      </c>
      <c r="D857" s="44">
        <f t="shared" si="39"/>
        <v>856</v>
      </c>
      <c r="E857" s="45" t="s">
        <v>1020</v>
      </c>
      <c r="F857" s="46" t="s">
        <v>2768</v>
      </c>
    </row>
    <row r="858" spans="1:6" ht="17">
      <c r="A858" s="15">
        <f t="shared" ca="1" si="37"/>
        <v>804</v>
      </c>
      <c r="B858" s="16">
        <f t="shared" ca="1" si="38"/>
        <v>0.5749079046131147</v>
      </c>
      <c r="C858" s="17">
        <f>IF(AND(問題解答データベース!D858&gt;=小テスト!$C$6,D858&lt;=小テスト!$E$6),1,0)</f>
        <v>1</v>
      </c>
      <c r="D858" s="44">
        <f t="shared" si="39"/>
        <v>857</v>
      </c>
      <c r="E858" s="45" t="s">
        <v>1021</v>
      </c>
      <c r="F858" s="46" t="s">
        <v>2769</v>
      </c>
    </row>
    <row r="859" spans="1:6" ht="17">
      <c r="A859" s="15">
        <f t="shared" ca="1" si="37"/>
        <v>532</v>
      </c>
      <c r="B859" s="16">
        <f t="shared" ca="1" si="38"/>
        <v>0.72463719449088815</v>
      </c>
      <c r="C859" s="17">
        <f>IF(AND(問題解答データベース!D859&gt;=小テスト!$C$6,D859&lt;=小テスト!$E$6),1,0)</f>
        <v>1</v>
      </c>
      <c r="D859" s="44">
        <f t="shared" si="39"/>
        <v>858</v>
      </c>
      <c r="E859" s="45" t="s">
        <v>1022</v>
      </c>
      <c r="F859" s="46" t="s">
        <v>2770</v>
      </c>
    </row>
    <row r="860" spans="1:6" ht="17">
      <c r="A860" s="15">
        <f t="shared" ca="1" si="37"/>
        <v>989</v>
      </c>
      <c r="B860" s="16">
        <f t="shared" ca="1" si="38"/>
        <v>0.48232371885632475</v>
      </c>
      <c r="C860" s="17">
        <f>IF(AND(問題解答データベース!D860&gt;=小テスト!$C$6,D860&lt;=小テスト!$E$6),1,0)</f>
        <v>1</v>
      </c>
      <c r="D860" s="44">
        <f t="shared" si="39"/>
        <v>859</v>
      </c>
      <c r="E860" s="45" t="s">
        <v>1023</v>
      </c>
      <c r="F860" s="46" t="s">
        <v>2771</v>
      </c>
    </row>
    <row r="861" spans="1:6" ht="17">
      <c r="A861" s="15">
        <f t="shared" ca="1" si="37"/>
        <v>471</v>
      </c>
      <c r="B861" s="16">
        <f t="shared" ca="1" si="38"/>
        <v>0.75646486146451353</v>
      </c>
      <c r="C861" s="17">
        <f>IF(AND(問題解答データベース!D861&gt;=小テスト!$C$6,D861&lt;=小テスト!$E$6),1,0)</f>
        <v>1</v>
      </c>
      <c r="D861" s="44">
        <f t="shared" si="39"/>
        <v>860</v>
      </c>
      <c r="E861" s="45" t="s">
        <v>1024</v>
      </c>
      <c r="F861" s="46" t="s">
        <v>2772</v>
      </c>
    </row>
    <row r="862" spans="1:6" ht="17">
      <c r="A862" s="15">
        <f t="shared" ca="1" si="37"/>
        <v>1440</v>
      </c>
      <c r="B862" s="16">
        <f t="shared" ca="1" si="38"/>
        <v>0.24294111398341756</v>
      </c>
      <c r="C862" s="17">
        <f>IF(AND(問題解答データベース!D862&gt;=小テスト!$C$6,D862&lt;=小テスト!$E$6),1,0)</f>
        <v>1</v>
      </c>
      <c r="D862" s="44">
        <f t="shared" si="39"/>
        <v>861</v>
      </c>
      <c r="E862" s="45" t="s">
        <v>1025</v>
      </c>
      <c r="F862" s="46" t="s">
        <v>2773</v>
      </c>
    </row>
    <row r="863" spans="1:6" ht="17">
      <c r="A863" s="15">
        <f t="shared" ca="1" si="37"/>
        <v>1863</v>
      </c>
      <c r="B863" s="16">
        <f t="shared" ca="1" si="38"/>
        <v>1.6539485862187675E-2</v>
      </c>
      <c r="C863" s="17">
        <f>IF(AND(問題解答データベース!D863&gt;=小テスト!$C$6,D863&lt;=小テスト!$E$6),1,0)</f>
        <v>1</v>
      </c>
      <c r="D863" s="44">
        <f t="shared" si="39"/>
        <v>862</v>
      </c>
      <c r="E863" s="45" t="s">
        <v>1026</v>
      </c>
      <c r="F863" s="46" t="s">
        <v>2774</v>
      </c>
    </row>
    <row r="864" spans="1:6" ht="17">
      <c r="A864" s="15">
        <f t="shared" ca="1" si="37"/>
        <v>122</v>
      </c>
      <c r="B864" s="16">
        <f t="shared" ca="1" si="38"/>
        <v>0.94186090333607464</v>
      </c>
      <c r="C864" s="17">
        <f>IF(AND(問題解答データベース!D864&gt;=小テスト!$C$6,D864&lt;=小テスト!$E$6),1,0)</f>
        <v>1</v>
      </c>
      <c r="D864" s="44">
        <f t="shared" si="39"/>
        <v>863</v>
      </c>
      <c r="E864" s="45" t="s">
        <v>1027</v>
      </c>
      <c r="F864" s="46" t="s">
        <v>2775</v>
      </c>
    </row>
    <row r="865" spans="1:6" ht="17">
      <c r="A865" s="15">
        <f t="shared" ca="1" si="37"/>
        <v>714</v>
      </c>
      <c r="B865" s="16">
        <f t="shared" ca="1" si="38"/>
        <v>0.62167464380760584</v>
      </c>
      <c r="C865" s="17">
        <f>IF(AND(問題解答データベース!D865&gt;=小テスト!$C$6,D865&lt;=小テスト!$E$6),1,0)</f>
        <v>1</v>
      </c>
      <c r="D865" s="44">
        <f t="shared" si="39"/>
        <v>864</v>
      </c>
      <c r="E865" s="45" t="s">
        <v>1028</v>
      </c>
      <c r="F865" s="46" t="s">
        <v>2776</v>
      </c>
    </row>
    <row r="866" spans="1:6" ht="17">
      <c r="A866" s="15">
        <f t="shared" ca="1" si="37"/>
        <v>98</v>
      </c>
      <c r="B866" s="16">
        <f t="shared" ca="1" si="38"/>
        <v>0.95328820390242974</v>
      </c>
      <c r="C866" s="17">
        <f>IF(AND(問題解答データベース!D866&gt;=小テスト!$C$6,D866&lt;=小テスト!$E$6),1,0)</f>
        <v>1</v>
      </c>
      <c r="D866" s="44">
        <f t="shared" si="39"/>
        <v>865</v>
      </c>
      <c r="E866" s="45" t="s">
        <v>1029</v>
      </c>
      <c r="F866" s="46" t="s">
        <v>2777</v>
      </c>
    </row>
    <row r="867" spans="1:6" ht="17">
      <c r="A867" s="15">
        <f t="shared" ca="1" si="37"/>
        <v>270</v>
      </c>
      <c r="B867" s="16">
        <f t="shared" ca="1" si="38"/>
        <v>0.86064848647558456</v>
      </c>
      <c r="C867" s="17">
        <f>IF(AND(問題解答データベース!D867&gt;=小テスト!$C$6,D867&lt;=小テスト!$E$6),1,0)</f>
        <v>1</v>
      </c>
      <c r="D867" s="44">
        <f t="shared" si="39"/>
        <v>866</v>
      </c>
      <c r="E867" s="45" t="s">
        <v>1030</v>
      </c>
      <c r="F867" s="46" t="s">
        <v>2778</v>
      </c>
    </row>
    <row r="868" spans="1:6" ht="17">
      <c r="A868" s="15">
        <f t="shared" ca="1" si="37"/>
        <v>53</v>
      </c>
      <c r="B868" s="16">
        <f t="shared" ca="1" si="38"/>
        <v>0.9714925238131572</v>
      </c>
      <c r="C868" s="17">
        <f>IF(AND(問題解答データベース!D868&gt;=小テスト!$C$6,D868&lt;=小テスト!$E$6),1,0)</f>
        <v>1</v>
      </c>
      <c r="D868" s="44">
        <f t="shared" si="39"/>
        <v>867</v>
      </c>
      <c r="E868" s="45" t="s">
        <v>1031</v>
      </c>
      <c r="F868" s="46" t="s">
        <v>2779</v>
      </c>
    </row>
    <row r="869" spans="1:6" ht="17">
      <c r="A869" s="15">
        <f t="shared" ca="1" si="37"/>
        <v>150</v>
      </c>
      <c r="B869" s="16">
        <f t="shared" ca="1" si="38"/>
        <v>0.92400525066418937</v>
      </c>
      <c r="C869" s="17">
        <f>IF(AND(問題解答データベース!D869&gt;=小テスト!$C$6,D869&lt;=小テスト!$E$6),1,0)</f>
        <v>1</v>
      </c>
      <c r="D869" s="44">
        <f t="shared" si="39"/>
        <v>868</v>
      </c>
      <c r="E869" s="45" t="s">
        <v>1032</v>
      </c>
      <c r="F869" s="46" t="s">
        <v>2780</v>
      </c>
    </row>
    <row r="870" spans="1:6" ht="17">
      <c r="A870" s="15">
        <f t="shared" ca="1" si="37"/>
        <v>929</v>
      </c>
      <c r="B870" s="16">
        <f t="shared" ca="1" si="38"/>
        <v>0.51113747335109661</v>
      </c>
      <c r="C870" s="17">
        <f>IF(AND(問題解答データベース!D870&gt;=小テスト!$C$6,D870&lt;=小テスト!$E$6),1,0)</f>
        <v>1</v>
      </c>
      <c r="D870" s="44">
        <f t="shared" si="39"/>
        <v>869</v>
      </c>
      <c r="E870" s="45" t="s">
        <v>1033</v>
      </c>
      <c r="F870" s="46" t="s">
        <v>2781</v>
      </c>
    </row>
    <row r="871" spans="1:6" ht="17">
      <c r="A871" s="15">
        <f t="shared" ca="1" si="37"/>
        <v>376</v>
      </c>
      <c r="B871" s="16">
        <f t="shared" ca="1" si="38"/>
        <v>0.79849070842230996</v>
      </c>
      <c r="C871" s="17">
        <f>IF(AND(問題解答データベース!D871&gt;=小テスト!$C$6,D871&lt;=小テスト!$E$6),1,0)</f>
        <v>1</v>
      </c>
      <c r="D871" s="44">
        <f t="shared" si="39"/>
        <v>870</v>
      </c>
      <c r="E871" s="45" t="s">
        <v>1034</v>
      </c>
      <c r="F871" s="46" t="s">
        <v>2782</v>
      </c>
    </row>
    <row r="872" spans="1:6" ht="17">
      <c r="A872" s="15">
        <f t="shared" ca="1" si="37"/>
        <v>1083</v>
      </c>
      <c r="B872" s="16">
        <f t="shared" ca="1" si="38"/>
        <v>0.43411239323222317</v>
      </c>
      <c r="C872" s="17">
        <f>IF(AND(問題解答データベース!D872&gt;=小テスト!$C$6,D872&lt;=小テスト!$E$6),1,0)</f>
        <v>1</v>
      </c>
      <c r="D872" s="44">
        <f t="shared" si="39"/>
        <v>871</v>
      </c>
      <c r="E872" s="45" t="s">
        <v>1035</v>
      </c>
      <c r="F872" s="46" t="s">
        <v>2783</v>
      </c>
    </row>
    <row r="873" spans="1:6" ht="17">
      <c r="A873" s="15">
        <f t="shared" ca="1" si="37"/>
        <v>453</v>
      </c>
      <c r="B873" s="16">
        <f t="shared" ca="1" si="38"/>
        <v>0.76419902960718666</v>
      </c>
      <c r="C873" s="17">
        <f>IF(AND(問題解答データベース!D873&gt;=小テスト!$C$6,D873&lt;=小テスト!$E$6),1,0)</f>
        <v>1</v>
      </c>
      <c r="D873" s="44">
        <f t="shared" si="39"/>
        <v>872</v>
      </c>
      <c r="E873" s="45" t="s">
        <v>1036</v>
      </c>
      <c r="F873" s="46" t="s">
        <v>2784</v>
      </c>
    </row>
    <row r="874" spans="1:6" ht="17">
      <c r="A874" s="15">
        <f t="shared" ca="1" si="37"/>
        <v>1093</v>
      </c>
      <c r="B874" s="16">
        <f t="shared" ca="1" si="38"/>
        <v>0.42749875279513028</v>
      </c>
      <c r="C874" s="17">
        <f>IF(AND(問題解答データベース!D874&gt;=小テスト!$C$6,D874&lt;=小テスト!$E$6),1,0)</f>
        <v>1</v>
      </c>
      <c r="D874" s="44">
        <f t="shared" si="39"/>
        <v>873</v>
      </c>
      <c r="E874" s="45" t="s">
        <v>1037</v>
      </c>
      <c r="F874" s="46" t="s">
        <v>2785</v>
      </c>
    </row>
    <row r="875" spans="1:6" ht="17">
      <c r="A875" s="15">
        <f t="shared" ca="1" si="37"/>
        <v>144</v>
      </c>
      <c r="B875" s="16">
        <f t="shared" ca="1" si="38"/>
        <v>0.93024391161999043</v>
      </c>
      <c r="C875" s="17">
        <f>IF(AND(問題解答データベース!D875&gt;=小テスト!$C$6,D875&lt;=小テスト!$E$6),1,0)</f>
        <v>1</v>
      </c>
      <c r="D875" s="44">
        <f t="shared" si="39"/>
        <v>874</v>
      </c>
      <c r="E875" s="45" t="s">
        <v>1038</v>
      </c>
      <c r="F875" s="46" t="s">
        <v>2786</v>
      </c>
    </row>
    <row r="876" spans="1:6" ht="17">
      <c r="A876" s="15">
        <f t="shared" ca="1" si="37"/>
        <v>702</v>
      </c>
      <c r="B876" s="16">
        <f t="shared" ca="1" si="38"/>
        <v>0.62609661783898152</v>
      </c>
      <c r="C876" s="17">
        <f>IF(AND(問題解答データベース!D876&gt;=小テスト!$C$6,D876&lt;=小テスト!$E$6),1,0)</f>
        <v>1</v>
      </c>
      <c r="D876" s="44">
        <f t="shared" si="39"/>
        <v>875</v>
      </c>
      <c r="E876" s="45" t="s">
        <v>1039</v>
      </c>
      <c r="F876" s="46" t="s">
        <v>2787</v>
      </c>
    </row>
    <row r="877" spans="1:6" ht="17">
      <c r="A877" s="15">
        <f t="shared" ca="1" si="37"/>
        <v>628</v>
      </c>
      <c r="B877" s="16">
        <f t="shared" ca="1" si="38"/>
        <v>0.66841800748825075</v>
      </c>
      <c r="C877" s="17">
        <f>IF(AND(問題解答データベース!D877&gt;=小テスト!$C$6,D877&lt;=小テスト!$E$6),1,0)</f>
        <v>1</v>
      </c>
      <c r="D877" s="44">
        <f t="shared" si="39"/>
        <v>876</v>
      </c>
      <c r="E877" s="45" t="s">
        <v>1040</v>
      </c>
      <c r="F877" s="46" t="s">
        <v>2788</v>
      </c>
    </row>
    <row r="878" spans="1:6" ht="17">
      <c r="A878" s="15">
        <f t="shared" ca="1" si="37"/>
        <v>887</v>
      </c>
      <c r="B878" s="16">
        <f t="shared" ca="1" si="38"/>
        <v>0.53116049742395943</v>
      </c>
      <c r="C878" s="17">
        <f>IF(AND(問題解答データベース!D878&gt;=小テスト!$C$6,D878&lt;=小テスト!$E$6),1,0)</f>
        <v>1</v>
      </c>
      <c r="D878" s="44">
        <f t="shared" si="39"/>
        <v>877</v>
      </c>
      <c r="E878" s="45" t="s">
        <v>1041</v>
      </c>
      <c r="F878" s="46" t="s">
        <v>2789</v>
      </c>
    </row>
    <row r="879" spans="1:6" ht="17">
      <c r="A879" s="15">
        <f t="shared" ca="1" si="37"/>
        <v>1261</v>
      </c>
      <c r="B879" s="16">
        <f t="shared" ca="1" si="38"/>
        <v>0.34427858533658262</v>
      </c>
      <c r="C879" s="17">
        <f>IF(AND(問題解答データベース!D879&gt;=小テスト!$C$6,D879&lt;=小テスト!$E$6),1,0)</f>
        <v>1</v>
      </c>
      <c r="D879" s="44">
        <f t="shared" si="39"/>
        <v>878</v>
      </c>
      <c r="E879" s="45" t="s">
        <v>1042</v>
      </c>
      <c r="F879" s="46" t="s">
        <v>2790</v>
      </c>
    </row>
    <row r="880" spans="1:6" ht="17">
      <c r="A880" s="15">
        <f t="shared" ca="1" si="37"/>
        <v>962</v>
      </c>
      <c r="B880" s="16">
        <f t="shared" ca="1" si="38"/>
        <v>0.49334177238931443</v>
      </c>
      <c r="C880" s="17">
        <f>IF(AND(問題解答データベース!D880&gt;=小テスト!$C$6,D880&lt;=小テスト!$E$6),1,0)</f>
        <v>1</v>
      </c>
      <c r="D880" s="44">
        <f t="shared" si="39"/>
        <v>879</v>
      </c>
      <c r="E880" s="45" t="s">
        <v>1043</v>
      </c>
      <c r="F880" s="46" t="s">
        <v>2791</v>
      </c>
    </row>
    <row r="881" spans="1:6" ht="17">
      <c r="A881" s="15">
        <f t="shared" ca="1" si="37"/>
        <v>403</v>
      </c>
      <c r="B881" s="16">
        <f t="shared" ca="1" si="38"/>
        <v>0.78649780233301003</v>
      </c>
      <c r="C881" s="17">
        <f>IF(AND(問題解答データベース!D881&gt;=小テスト!$C$6,D881&lt;=小テスト!$E$6),1,0)</f>
        <v>1</v>
      </c>
      <c r="D881" s="44">
        <f t="shared" si="39"/>
        <v>880</v>
      </c>
      <c r="E881" s="45" t="s">
        <v>1044</v>
      </c>
      <c r="F881" s="46" t="s">
        <v>2792</v>
      </c>
    </row>
    <row r="882" spans="1:6" ht="17">
      <c r="A882" s="15">
        <f t="shared" ca="1" si="37"/>
        <v>1838</v>
      </c>
      <c r="B882" s="16">
        <f t="shared" ca="1" si="38"/>
        <v>3.0555033085717942E-2</v>
      </c>
      <c r="C882" s="17">
        <f>IF(AND(問題解答データベース!D882&gt;=小テスト!$C$6,D882&lt;=小テスト!$E$6),1,0)</f>
        <v>1</v>
      </c>
      <c r="D882" s="44">
        <f t="shared" si="39"/>
        <v>881</v>
      </c>
      <c r="E882" s="45" t="s">
        <v>1045</v>
      </c>
      <c r="F882" s="46" t="s">
        <v>2793</v>
      </c>
    </row>
    <row r="883" spans="1:6" ht="17">
      <c r="A883" s="15">
        <f t="shared" ca="1" si="37"/>
        <v>19</v>
      </c>
      <c r="B883" s="16">
        <f t="shared" ca="1" si="38"/>
        <v>0.992032384918479</v>
      </c>
      <c r="C883" s="17">
        <f>IF(AND(問題解答データベース!D883&gt;=小テスト!$C$6,D883&lt;=小テスト!$E$6),1,0)</f>
        <v>1</v>
      </c>
      <c r="D883" s="44">
        <f t="shared" si="39"/>
        <v>882</v>
      </c>
      <c r="E883" s="45" t="s">
        <v>1046</v>
      </c>
      <c r="F883" s="46" t="s">
        <v>2794</v>
      </c>
    </row>
    <row r="884" spans="1:6" ht="17">
      <c r="A884" s="15">
        <f t="shared" ca="1" si="37"/>
        <v>1142</v>
      </c>
      <c r="B884" s="16">
        <f t="shared" ca="1" si="38"/>
        <v>0.40166476794827721</v>
      </c>
      <c r="C884" s="17">
        <f>IF(AND(問題解答データベース!D884&gt;=小テスト!$C$6,D884&lt;=小テスト!$E$6),1,0)</f>
        <v>1</v>
      </c>
      <c r="D884" s="44">
        <f t="shared" si="39"/>
        <v>883</v>
      </c>
      <c r="E884" s="45" t="s">
        <v>1047</v>
      </c>
      <c r="F884" s="46" t="s">
        <v>2795</v>
      </c>
    </row>
    <row r="885" spans="1:6" ht="17">
      <c r="A885" s="15">
        <f t="shared" ca="1" si="37"/>
        <v>1216</v>
      </c>
      <c r="B885" s="16">
        <f t="shared" ca="1" si="38"/>
        <v>0.36407631498998183</v>
      </c>
      <c r="C885" s="17">
        <f>IF(AND(問題解答データベース!D885&gt;=小テスト!$C$6,D885&lt;=小テスト!$E$6),1,0)</f>
        <v>1</v>
      </c>
      <c r="D885" s="44">
        <f t="shared" si="39"/>
        <v>884</v>
      </c>
      <c r="E885" s="45" t="s">
        <v>1048</v>
      </c>
      <c r="F885" s="46" t="s">
        <v>2796</v>
      </c>
    </row>
    <row r="886" spans="1:6" ht="17">
      <c r="A886" s="15">
        <f t="shared" ca="1" si="37"/>
        <v>314</v>
      </c>
      <c r="B886" s="16">
        <f t="shared" ca="1" si="38"/>
        <v>0.83313348543754484</v>
      </c>
      <c r="C886" s="17">
        <f>IF(AND(問題解答データベース!D886&gt;=小テスト!$C$6,D886&lt;=小テスト!$E$6),1,0)</f>
        <v>1</v>
      </c>
      <c r="D886" s="44">
        <f t="shared" si="39"/>
        <v>885</v>
      </c>
      <c r="E886" s="45" t="s">
        <v>1049</v>
      </c>
      <c r="F886" s="46" t="s">
        <v>2797</v>
      </c>
    </row>
    <row r="887" spans="1:6" ht="17">
      <c r="A887" s="15">
        <f t="shared" ca="1" si="37"/>
        <v>905</v>
      </c>
      <c r="B887" s="16">
        <f t="shared" ca="1" si="38"/>
        <v>0.52113138348380161</v>
      </c>
      <c r="C887" s="17">
        <f>IF(AND(問題解答データベース!D887&gt;=小テスト!$C$6,D887&lt;=小テスト!$E$6),1,0)</f>
        <v>1</v>
      </c>
      <c r="D887" s="44">
        <f t="shared" si="39"/>
        <v>886</v>
      </c>
      <c r="E887" s="45" t="s">
        <v>1050</v>
      </c>
      <c r="F887" s="46" t="s">
        <v>2798</v>
      </c>
    </row>
    <row r="888" spans="1:6" ht="17">
      <c r="A888" s="15">
        <f t="shared" ca="1" si="37"/>
        <v>292</v>
      </c>
      <c r="B888" s="16">
        <f t="shared" ca="1" si="38"/>
        <v>0.8494317712207039</v>
      </c>
      <c r="C888" s="17">
        <f>IF(AND(問題解答データベース!D888&gt;=小テスト!$C$6,D888&lt;=小テスト!$E$6),1,0)</f>
        <v>1</v>
      </c>
      <c r="D888" s="44">
        <f t="shared" si="39"/>
        <v>887</v>
      </c>
      <c r="E888" s="45" t="s">
        <v>1051</v>
      </c>
      <c r="F888" s="46" t="s">
        <v>2799</v>
      </c>
    </row>
    <row r="889" spans="1:6" ht="17">
      <c r="A889" s="15">
        <f t="shared" ca="1" si="37"/>
        <v>1037</v>
      </c>
      <c r="B889" s="16">
        <f t="shared" ca="1" si="38"/>
        <v>0.46384942119205885</v>
      </c>
      <c r="C889" s="17">
        <f>IF(AND(問題解答データベース!D889&gt;=小テスト!$C$6,D889&lt;=小テスト!$E$6),1,0)</f>
        <v>1</v>
      </c>
      <c r="D889" s="44">
        <f t="shared" si="39"/>
        <v>888</v>
      </c>
      <c r="E889" s="45" t="s">
        <v>1052</v>
      </c>
      <c r="F889" s="46" t="s">
        <v>2800</v>
      </c>
    </row>
    <row r="890" spans="1:6" ht="17">
      <c r="A890" s="15">
        <f t="shared" ca="1" si="37"/>
        <v>1034</v>
      </c>
      <c r="B890" s="16">
        <f t="shared" ca="1" si="38"/>
        <v>0.46555122415319461</v>
      </c>
      <c r="C890" s="17">
        <f>IF(AND(問題解答データベース!D890&gt;=小テスト!$C$6,D890&lt;=小テスト!$E$6),1,0)</f>
        <v>1</v>
      </c>
      <c r="D890" s="44">
        <f t="shared" si="39"/>
        <v>889</v>
      </c>
      <c r="E890" s="45" t="s">
        <v>1053</v>
      </c>
      <c r="F890" s="46" t="s">
        <v>2801</v>
      </c>
    </row>
    <row r="891" spans="1:6" ht="17">
      <c r="A891" s="15">
        <f t="shared" ca="1" si="37"/>
        <v>1490</v>
      </c>
      <c r="B891" s="16">
        <f t="shared" ca="1" si="38"/>
        <v>0.20659081678238433</v>
      </c>
      <c r="C891" s="17">
        <f>IF(AND(問題解答データベース!D891&gt;=小テスト!$C$6,D891&lt;=小テスト!$E$6),1,0)</f>
        <v>1</v>
      </c>
      <c r="D891" s="44">
        <f t="shared" si="39"/>
        <v>890</v>
      </c>
      <c r="E891" s="45" t="s">
        <v>1054</v>
      </c>
      <c r="F891" s="46" t="s">
        <v>2802</v>
      </c>
    </row>
    <row r="892" spans="1:6" ht="17">
      <c r="A892" s="15">
        <f t="shared" ca="1" si="37"/>
        <v>1524</v>
      </c>
      <c r="B892" s="16">
        <f t="shared" ca="1" si="38"/>
        <v>0.19053970633434703</v>
      </c>
      <c r="C892" s="17">
        <f>IF(AND(問題解答データベース!D892&gt;=小テスト!$C$6,D892&lt;=小テスト!$E$6),1,0)</f>
        <v>1</v>
      </c>
      <c r="D892" s="44">
        <f t="shared" si="39"/>
        <v>891</v>
      </c>
      <c r="E892" s="45" t="s">
        <v>1055</v>
      </c>
      <c r="F892" s="46" t="s">
        <v>2803</v>
      </c>
    </row>
    <row r="893" spans="1:6" ht="17">
      <c r="A893" s="15">
        <f t="shared" ca="1" si="37"/>
        <v>1106</v>
      </c>
      <c r="B893" s="16">
        <f t="shared" ca="1" si="38"/>
        <v>0.4203691484461014</v>
      </c>
      <c r="C893" s="17">
        <f>IF(AND(問題解答データベース!D893&gt;=小テスト!$C$6,D893&lt;=小テスト!$E$6),1,0)</f>
        <v>1</v>
      </c>
      <c r="D893" s="44">
        <f t="shared" si="39"/>
        <v>892</v>
      </c>
      <c r="E893" s="45" t="s">
        <v>1056</v>
      </c>
      <c r="F893" s="46" t="s">
        <v>2804</v>
      </c>
    </row>
    <row r="894" spans="1:6" ht="17">
      <c r="A894" s="15">
        <f t="shared" ca="1" si="37"/>
        <v>1444</v>
      </c>
      <c r="B894" s="16">
        <f t="shared" ca="1" si="38"/>
        <v>0.23975285431415738</v>
      </c>
      <c r="C894" s="17">
        <f>IF(AND(問題解答データベース!D894&gt;=小テスト!$C$6,D894&lt;=小テスト!$E$6),1,0)</f>
        <v>1</v>
      </c>
      <c r="D894" s="44">
        <f t="shared" si="39"/>
        <v>893</v>
      </c>
      <c r="E894" s="45" t="s">
        <v>1057</v>
      </c>
      <c r="F894" s="46" t="s">
        <v>2805</v>
      </c>
    </row>
    <row r="895" spans="1:6" ht="17">
      <c r="A895" s="15">
        <f t="shared" ca="1" si="37"/>
        <v>1659</v>
      </c>
      <c r="B895" s="16">
        <f t="shared" ca="1" si="38"/>
        <v>0.12424317246380645</v>
      </c>
      <c r="C895" s="17">
        <f>IF(AND(問題解答データベース!D895&gt;=小テスト!$C$6,D895&lt;=小テスト!$E$6),1,0)</f>
        <v>1</v>
      </c>
      <c r="D895" s="44">
        <f t="shared" si="39"/>
        <v>894</v>
      </c>
      <c r="E895" s="45" t="s">
        <v>1058</v>
      </c>
      <c r="F895" s="46" t="s">
        <v>2806</v>
      </c>
    </row>
    <row r="896" spans="1:6" ht="17">
      <c r="A896" s="15">
        <f t="shared" ca="1" si="37"/>
        <v>1874</v>
      </c>
      <c r="B896" s="16">
        <f t="shared" ca="1" si="38"/>
        <v>1.2411422740253419E-2</v>
      </c>
      <c r="C896" s="17">
        <f>IF(AND(問題解答データベース!D896&gt;=小テスト!$C$6,D896&lt;=小テスト!$E$6),1,0)</f>
        <v>1</v>
      </c>
      <c r="D896" s="44">
        <f t="shared" si="39"/>
        <v>895</v>
      </c>
      <c r="E896" s="45" t="s">
        <v>1059</v>
      </c>
      <c r="F896" s="46" t="s">
        <v>2807</v>
      </c>
    </row>
    <row r="897" spans="1:6" ht="17">
      <c r="A897" s="15">
        <f t="shared" ca="1" si="37"/>
        <v>997</v>
      </c>
      <c r="B897" s="16">
        <f t="shared" ca="1" si="38"/>
        <v>0.47858713502986561</v>
      </c>
      <c r="C897" s="17">
        <f>IF(AND(問題解答データベース!D897&gt;=小テスト!$C$6,D897&lt;=小テスト!$E$6),1,0)</f>
        <v>1</v>
      </c>
      <c r="D897" s="44">
        <f t="shared" si="39"/>
        <v>896</v>
      </c>
      <c r="E897" s="45" t="s">
        <v>1060</v>
      </c>
      <c r="F897" s="46" t="s">
        <v>2808</v>
      </c>
    </row>
    <row r="898" spans="1:6" ht="17">
      <c r="A898" s="15">
        <f t="shared" ca="1" si="37"/>
        <v>845</v>
      </c>
      <c r="B898" s="16">
        <f t="shared" ca="1" si="38"/>
        <v>0.54984559316667614</v>
      </c>
      <c r="C898" s="17">
        <f>IF(AND(問題解答データベース!D898&gt;=小テスト!$C$6,D898&lt;=小テスト!$E$6),1,0)</f>
        <v>1</v>
      </c>
      <c r="D898" s="44">
        <f t="shared" si="39"/>
        <v>897</v>
      </c>
      <c r="E898" s="45" t="s">
        <v>1061</v>
      </c>
      <c r="F898" s="46" t="s">
        <v>2809</v>
      </c>
    </row>
    <row r="899" spans="1:6" ht="17">
      <c r="A899" s="15">
        <f t="shared" ref="A899:A962" ca="1" si="40">RANK(B899,$B$2:$B$1901,0)</f>
        <v>1118</v>
      </c>
      <c r="B899" s="16">
        <f t="shared" ca="1" si="38"/>
        <v>0.4147967378634686</v>
      </c>
      <c r="C899" s="17">
        <f>IF(AND(問題解答データベース!D899&gt;=小テスト!$C$6,D899&lt;=小テスト!$E$6),1,0)</f>
        <v>1</v>
      </c>
      <c r="D899" s="44">
        <f t="shared" si="39"/>
        <v>898</v>
      </c>
      <c r="E899" s="45" t="s">
        <v>1062</v>
      </c>
      <c r="F899" s="46" t="s">
        <v>2810</v>
      </c>
    </row>
    <row r="900" spans="1:6" ht="17">
      <c r="A900" s="15">
        <f t="shared" ca="1" si="40"/>
        <v>928</v>
      </c>
      <c r="B900" s="16">
        <f t="shared" ca="1" si="38"/>
        <v>0.51118858897044361</v>
      </c>
      <c r="C900" s="17">
        <f>IF(AND(問題解答データベース!D900&gt;=小テスト!$C$6,D900&lt;=小テスト!$E$6),1,0)</f>
        <v>1</v>
      </c>
      <c r="D900" s="44">
        <f t="shared" si="39"/>
        <v>899</v>
      </c>
      <c r="E900" s="45" t="s">
        <v>1063</v>
      </c>
      <c r="F900" s="46" t="s">
        <v>2811</v>
      </c>
    </row>
    <row r="901" spans="1:6" ht="17">
      <c r="A901" s="15">
        <f t="shared" ca="1" si="40"/>
        <v>766</v>
      </c>
      <c r="B901" s="16">
        <f t="shared" ca="1" si="38"/>
        <v>0.59538146221802923</v>
      </c>
      <c r="C901" s="17">
        <f>IF(AND(問題解答データベース!D901&gt;=小テスト!$C$6,D901&lt;=小テスト!$E$6),1,0)</f>
        <v>1</v>
      </c>
      <c r="D901" s="44">
        <f t="shared" si="39"/>
        <v>900</v>
      </c>
      <c r="E901" s="45" t="s">
        <v>1064</v>
      </c>
      <c r="F901" s="46" t="s">
        <v>2812</v>
      </c>
    </row>
    <row r="902" spans="1:6" ht="17">
      <c r="A902" s="15">
        <f t="shared" ca="1" si="40"/>
        <v>265</v>
      </c>
      <c r="B902" s="16">
        <f t="shared" ca="1" si="38"/>
        <v>0.86200345033370052</v>
      </c>
      <c r="C902" s="17">
        <f>IF(AND(問題解答データベース!D902&gt;=小テスト!$C$6,D902&lt;=小テスト!$E$6),1,0)</f>
        <v>1</v>
      </c>
      <c r="D902" s="44">
        <f t="shared" si="39"/>
        <v>901</v>
      </c>
      <c r="E902" s="45" t="s">
        <v>1065</v>
      </c>
      <c r="F902" s="46" t="s">
        <v>2813</v>
      </c>
    </row>
    <row r="903" spans="1:6" ht="17">
      <c r="A903" s="15">
        <f t="shared" ca="1" si="40"/>
        <v>747</v>
      </c>
      <c r="B903" s="16">
        <f t="shared" ca="1" si="38"/>
        <v>0.60480647197444448</v>
      </c>
      <c r="C903" s="17">
        <f>IF(AND(問題解答データベース!D903&gt;=小テスト!$C$6,D903&lt;=小テスト!$E$6),1,0)</f>
        <v>1</v>
      </c>
      <c r="D903" s="44">
        <f t="shared" si="39"/>
        <v>902</v>
      </c>
      <c r="E903" s="45" t="s">
        <v>1066</v>
      </c>
      <c r="F903" s="46" t="s">
        <v>2814</v>
      </c>
    </row>
    <row r="904" spans="1:6" ht="17">
      <c r="A904" s="15">
        <f t="shared" ca="1" si="40"/>
        <v>1123</v>
      </c>
      <c r="B904" s="16">
        <f t="shared" ca="1" si="38"/>
        <v>0.41279081863650458</v>
      </c>
      <c r="C904" s="17">
        <f>IF(AND(問題解答データベース!D904&gt;=小テスト!$C$6,D904&lt;=小テスト!$E$6),1,0)</f>
        <v>1</v>
      </c>
      <c r="D904" s="44">
        <f t="shared" si="39"/>
        <v>903</v>
      </c>
      <c r="E904" s="45" t="s">
        <v>1067</v>
      </c>
      <c r="F904" s="46" t="s">
        <v>2815</v>
      </c>
    </row>
    <row r="905" spans="1:6" ht="17">
      <c r="A905" s="15">
        <f t="shared" ca="1" si="40"/>
        <v>437</v>
      </c>
      <c r="B905" s="16">
        <f t="shared" ca="1" si="38"/>
        <v>0.76802780478350896</v>
      </c>
      <c r="C905" s="17">
        <f>IF(AND(問題解答データベース!D905&gt;=小テスト!$C$6,D905&lt;=小テスト!$E$6),1,0)</f>
        <v>1</v>
      </c>
      <c r="D905" s="44">
        <f t="shared" si="39"/>
        <v>904</v>
      </c>
      <c r="E905" s="45" t="s">
        <v>1068</v>
      </c>
      <c r="F905" s="46" t="s">
        <v>2816</v>
      </c>
    </row>
    <row r="906" spans="1:6" ht="17">
      <c r="A906" s="15">
        <f t="shared" ca="1" si="40"/>
        <v>1295</v>
      </c>
      <c r="B906" s="16">
        <f t="shared" ref="B906:B969" ca="1" si="41">IF(C906=1,RAND(),0)</f>
        <v>0.32417250195215663</v>
      </c>
      <c r="C906" s="17">
        <f>IF(AND(問題解答データベース!D906&gt;=小テスト!$C$6,D906&lt;=小テスト!$E$6),1,0)</f>
        <v>1</v>
      </c>
      <c r="D906" s="44">
        <f t="shared" si="39"/>
        <v>905</v>
      </c>
      <c r="E906" s="45" t="s">
        <v>1069</v>
      </c>
      <c r="F906" s="46" t="s">
        <v>2817</v>
      </c>
    </row>
    <row r="907" spans="1:6" ht="17">
      <c r="A907" s="15">
        <f t="shared" ca="1" si="40"/>
        <v>654</v>
      </c>
      <c r="B907" s="16">
        <f t="shared" ca="1" si="41"/>
        <v>0.65736722509487278</v>
      </c>
      <c r="C907" s="17">
        <f>IF(AND(問題解答データベース!D907&gt;=小テスト!$C$6,D907&lt;=小テスト!$E$6),1,0)</f>
        <v>1</v>
      </c>
      <c r="D907" s="44">
        <f t="shared" si="39"/>
        <v>906</v>
      </c>
      <c r="E907" s="45" t="s">
        <v>1070</v>
      </c>
      <c r="F907" s="46" t="s">
        <v>2818</v>
      </c>
    </row>
    <row r="908" spans="1:6" ht="17">
      <c r="A908" s="15">
        <f t="shared" ca="1" si="40"/>
        <v>134</v>
      </c>
      <c r="B908" s="16">
        <f t="shared" ca="1" si="41"/>
        <v>0.93681297660290153</v>
      </c>
      <c r="C908" s="17">
        <f>IF(AND(問題解答データベース!D908&gt;=小テスト!$C$6,D908&lt;=小テスト!$E$6),1,0)</f>
        <v>1</v>
      </c>
      <c r="D908" s="44">
        <f t="shared" si="39"/>
        <v>907</v>
      </c>
      <c r="E908" s="45" t="s">
        <v>1071</v>
      </c>
      <c r="F908" s="46" t="s">
        <v>2819</v>
      </c>
    </row>
    <row r="909" spans="1:6" ht="17">
      <c r="A909" s="15">
        <f t="shared" ca="1" si="40"/>
        <v>194</v>
      </c>
      <c r="B909" s="16">
        <f t="shared" ca="1" si="41"/>
        <v>0.90618005343533814</v>
      </c>
      <c r="C909" s="17">
        <f>IF(AND(問題解答データベース!D909&gt;=小テスト!$C$6,D909&lt;=小テスト!$E$6),1,0)</f>
        <v>1</v>
      </c>
      <c r="D909" s="44">
        <f t="shared" ref="D909:D972" si="42">D908+1</f>
        <v>908</v>
      </c>
      <c r="E909" s="45" t="s">
        <v>1072</v>
      </c>
      <c r="F909" s="46" t="s">
        <v>2820</v>
      </c>
    </row>
    <row r="910" spans="1:6" ht="17">
      <c r="A910" s="15">
        <f t="shared" ca="1" si="40"/>
        <v>1598</v>
      </c>
      <c r="B910" s="16">
        <f t="shared" ca="1" si="41"/>
        <v>0.15681639462353936</v>
      </c>
      <c r="C910" s="17">
        <f>IF(AND(問題解答データベース!D910&gt;=小テスト!$C$6,D910&lt;=小テスト!$E$6),1,0)</f>
        <v>1</v>
      </c>
      <c r="D910" s="44">
        <f t="shared" si="42"/>
        <v>909</v>
      </c>
      <c r="E910" s="45" t="s">
        <v>1073</v>
      </c>
      <c r="F910" s="46" t="s">
        <v>2821</v>
      </c>
    </row>
    <row r="911" spans="1:6" ht="17">
      <c r="A911" s="15">
        <f t="shared" ca="1" si="40"/>
        <v>1184</v>
      </c>
      <c r="B911" s="16">
        <f t="shared" ca="1" si="41"/>
        <v>0.37462235914898723</v>
      </c>
      <c r="C911" s="17">
        <f>IF(AND(問題解答データベース!D911&gt;=小テスト!$C$6,D911&lt;=小テスト!$E$6),1,0)</f>
        <v>1</v>
      </c>
      <c r="D911" s="44">
        <f t="shared" si="42"/>
        <v>910</v>
      </c>
      <c r="E911" s="45" t="s">
        <v>1074</v>
      </c>
      <c r="F911" s="46" t="s">
        <v>2822</v>
      </c>
    </row>
    <row r="912" spans="1:6" ht="17">
      <c r="A912" s="15">
        <f t="shared" ca="1" si="40"/>
        <v>433</v>
      </c>
      <c r="B912" s="16">
        <f t="shared" ca="1" si="41"/>
        <v>0.77052125116990511</v>
      </c>
      <c r="C912" s="17">
        <f>IF(AND(問題解答データベース!D912&gt;=小テスト!$C$6,D912&lt;=小テスト!$E$6),1,0)</f>
        <v>1</v>
      </c>
      <c r="D912" s="44">
        <f t="shared" si="42"/>
        <v>911</v>
      </c>
      <c r="E912" s="45" t="s">
        <v>1075</v>
      </c>
      <c r="F912" s="46" t="s">
        <v>2823</v>
      </c>
    </row>
    <row r="913" spans="1:6" ht="17">
      <c r="A913" s="15">
        <f t="shared" ca="1" si="40"/>
        <v>806</v>
      </c>
      <c r="B913" s="16">
        <f t="shared" ca="1" si="41"/>
        <v>0.57436326460653253</v>
      </c>
      <c r="C913" s="17">
        <f>IF(AND(問題解答データベース!D913&gt;=小テスト!$C$6,D913&lt;=小テスト!$E$6),1,0)</f>
        <v>1</v>
      </c>
      <c r="D913" s="44">
        <f t="shared" si="42"/>
        <v>912</v>
      </c>
      <c r="E913" s="45" t="s">
        <v>1076</v>
      </c>
      <c r="F913" s="46" t="s">
        <v>2824</v>
      </c>
    </row>
    <row r="914" spans="1:6" ht="17">
      <c r="A914" s="15">
        <f t="shared" ca="1" si="40"/>
        <v>1145</v>
      </c>
      <c r="B914" s="16">
        <f t="shared" ca="1" si="41"/>
        <v>0.4000192240925412</v>
      </c>
      <c r="C914" s="17">
        <f>IF(AND(問題解答データベース!D914&gt;=小テスト!$C$6,D914&lt;=小テスト!$E$6),1,0)</f>
        <v>1</v>
      </c>
      <c r="D914" s="44">
        <f t="shared" si="42"/>
        <v>913</v>
      </c>
      <c r="E914" s="45" t="s">
        <v>1077</v>
      </c>
      <c r="F914" s="46" t="s">
        <v>2825</v>
      </c>
    </row>
    <row r="915" spans="1:6" ht="17">
      <c r="A915" s="15">
        <f t="shared" ca="1" si="40"/>
        <v>901</v>
      </c>
      <c r="B915" s="16">
        <f t="shared" ca="1" si="41"/>
        <v>0.52244468057196958</v>
      </c>
      <c r="C915" s="17">
        <f>IF(AND(問題解答データベース!D915&gt;=小テスト!$C$6,D915&lt;=小テスト!$E$6),1,0)</f>
        <v>1</v>
      </c>
      <c r="D915" s="44">
        <f t="shared" si="42"/>
        <v>914</v>
      </c>
      <c r="E915" s="45" t="s">
        <v>1078</v>
      </c>
      <c r="F915" s="46" t="s">
        <v>2826</v>
      </c>
    </row>
    <row r="916" spans="1:6" ht="17">
      <c r="A916" s="15">
        <f t="shared" ca="1" si="40"/>
        <v>559</v>
      </c>
      <c r="B916" s="16">
        <f t="shared" ca="1" si="41"/>
        <v>0.7087805696040852</v>
      </c>
      <c r="C916" s="17">
        <f>IF(AND(問題解答データベース!D916&gt;=小テスト!$C$6,D916&lt;=小テスト!$E$6),1,0)</f>
        <v>1</v>
      </c>
      <c r="D916" s="44">
        <f t="shared" si="42"/>
        <v>915</v>
      </c>
      <c r="E916" s="45" t="s">
        <v>1079</v>
      </c>
      <c r="F916" s="46" t="s">
        <v>2827</v>
      </c>
    </row>
    <row r="917" spans="1:6" ht="17">
      <c r="A917" s="15">
        <f t="shared" ca="1" si="40"/>
        <v>1189</v>
      </c>
      <c r="B917" s="16">
        <f t="shared" ca="1" si="41"/>
        <v>0.37216682496010955</v>
      </c>
      <c r="C917" s="17">
        <f>IF(AND(問題解答データベース!D917&gt;=小テスト!$C$6,D917&lt;=小テスト!$E$6),1,0)</f>
        <v>1</v>
      </c>
      <c r="D917" s="44">
        <f t="shared" si="42"/>
        <v>916</v>
      </c>
      <c r="E917" s="45" t="s">
        <v>1080</v>
      </c>
      <c r="F917" s="46" t="s">
        <v>2828</v>
      </c>
    </row>
    <row r="918" spans="1:6" ht="17">
      <c r="A918" s="15">
        <f t="shared" ca="1" si="40"/>
        <v>43</v>
      </c>
      <c r="B918" s="16">
        <f t="shared" ca="1" si="41"/>
        <v>0.97754644568625038</v>
      </c>
      <c r="C918" s="17">
        <f>IF(AND(問題解答データベース!D918&gt;=小テスト!$C$6,D918&lt;=小テスト!$E$6),1,0)</f>
        <v>1</v>
      </c>
      <c r="D918" s="44">
        <f t="shared" si="42"/>
        <v>917</v>
      </c>
      <c r="E918" s="45" t="s">
        <v>1081</v>
      </c>
      <c r="F918" s="46" t="s">
        <v>2829</v>
      </c>
    </row>
    <row r="919" spans="1:6" ht="17">
      <c r="A919" s="15">
        <f t="shared" ca="1" si="40"/>
        <v>1431</v>
      </c>
      <c r="B919" s="16">
        <f t="shared" ca="1" si="41"/>
        <v>0.24682061217011109</v>
      </c>
      <c r="C919" s="17">
        <f>IF(AND(問題解答データベース!D919&gt;=小テスト!$C$6,D919&lt;=小テスト!$E$6),1,0)</f>
        <v>1</v>
      </c>
      <c r="D919" s="44">
        <f t="shared" si="42"/>
        <v>918</v>
      </c>
      <c r="E919" s="45" t="s">
        <v>1082</v>
      </c>
      <c r="F919" s="46" t="s">
        <v>2830</v>
      </c>
    </row>
    <row r="920" spans="1:6" ht="17">
      <c r="A920" s="15">
        <f t="shared" ca="1" si="40"/>
        <v>1256</v>
      </c>
      <c r="B920" s="16">
        <f t="shared" ca="1" si="41"/>
        <v>0.34706508750347365</v>
      </c>
      <c r="C920" s="17">
        <f>IF(AND(問題解答データベース!D920&gt;=小テスト!$C$6,D920&lt;=小テスト!$E$6),1,0)</f>
        <v>1</v>
      </c>
      <c r="D920" s="44">
        <f t="shared" si="42"/>
        <v>919</v>
      </c>
      <c r="E920" s="45" t="s">
        <v>1083</v>
      </c>
      <c r="F920" s="46" t="s">
        <v>2831</v>
      </c>
    </row>
    <row r="921" spans="1:6" ht="17">
      <c r="A921" s="15">
        <f t="shared" ca="1" si="40"/>
        <v>1253</v>
      </c>
      <c r="B921" s="16">
        <f t="shared" ca="1" si="41"/>
        <v>0.34825242275531232</v>
      </c>
      <c r="C921" s="17">
        <f>IF(AND(問題解答データベース!D921&gt;=小テスト!$C$6,D921&lt;=小テスト!$E$6),1,0)</f>
        <v>1</v>
      </c>
      <c r="D921" s="44">
        <f t="shared" si="42"/>
        <v>920</v>
      </c>
      <c r="E921" s="45" t="s">
        <v>1084</v>
      </c>
      <c r="F921" s="46" t="s">
        <v>2832</v>
      </c>
    </row>
    <row r="922" spans="1:6" ht="17">
      <c r="A922" s="15">
        <f t="shared" ca="1" si="40"/>
        <v>1781</v>
      </c>
      <c r="B922" s="16">
        <f t="shared" ca="1" si="41"/>
        <v>5.6798929995437342E-2</v>
      </c>
      <c r="C922" s="17">
        <f>IF(AND(問題解答データベース!D922&gt;=小テスト!$C$6,D922&lt;=小テスト!$E$6),1,0)</f>
        <v>1</v>
      </c>
      <c r="D922" s="44">
        <f t="shared" si="42"/>
        <v>921</v>
      </c>
      <c r="E922" s="45" t="s">
        <v>1085</v>
      </c>
      <c r="F922" s="46" t="s">
        <v>2833</v>
      </c>
    </row>
    <row r="923" spans="1:6" ht="17">
      <c r="A923" s="15">
        <f t="shared" ca="1" si="40"/>
        <v>412</v>
      </c>
      <c r="B923" s="16">
        <f t="shared" ca="1" si="41"/>
        <v>0.78201867528473912</v>
      </c>
      <c r="C923" s="17">
        <f>IF(AND(問題解答データベース!D923&gt;=小テスト!$C$6,D923&lt;=小テスト!$E$6),1,0)</f>
        <v>1</v>
      </c>
      <c r="D923" s="44">
        <f t="shared" si="42"/>
        <v>922</v>
      </c>
      <c r="E923" s="45" t="s">
        <v>1086</v>
      </c>
      <c r="F923" s="46" t="s">
        <v>2834</v>
      </c>
    </row>
    <row r="924" spans="1:6" ht="17">
      <c r="A924" s="15">
        <f t="shared" ca="1" si="40"/>
        <v>1871</v>
      </c>
      <c r="B924" s="16">
        <f t="shared" ca="1" si="41"/>
        <v>1.380173542135521E-2</v>
      </c>
      <c r="C924" s="17">
        <f>IF(AND(問題解答データベース!D924&gt;=小テスト!$C$6,D924&lt;=小テスト!$E$6),1,0)</f>
        <v>1</v>
      </c>
      <c r="D924" s="44">
        <f t="shared" si="42"/>
        <v>923</v>
      </c>
      <c r="E924" s="45" t="s">
        <v>1087</v>
      </c>
      <c r="F924" s="46" t="s">
        <v>2835</v>
      </c>
    </row>
    <row r="925" spans="1:6" ht="17">
      <c r="A925" s="15">
        <f t="shared" ca="1" si="40"/>
        <v>449</v>
      </c>
      <c r="B925" s="16">
        <f t="shared" ca="1" si="41"/>
        <v>0.7656790233109344</v>
      </c>
      <c r="C925" s="17">
        <f>IF(AND(問題解答データベース!D925&gt;=小テスト!$C$6,D925&lt;=小テスト!$E$6),1,0)</f>
        <v>1</v>
      </c>
      <c r="D925" s="44">
        <f t="shared" si="42"/>
        <v>924</v>
      </c>
      <c r="E925" s="45" t="s">
        <v>1088</v>
      </c>
      <c r="F925" s="46" t="s">
        <v>2836</v>
      </c>
    </row>
    <row r="926" spans="1:6" ht="17">
      <c r="A926" s="15">
        <f t="shared" ca="1" si="40"/>
        <v>1664</v>
      </c>
      <c r="B926" s="16">
        <f t="shared" ca="1" si="41"/>
        <v>0.12075658039066128</v>
      </c>
      <c r="C926" s="17">
        <f>IF(AND(問題解答データベース!D926&gt;=小テスト!$C$6,D926&lt;=小テスト!$E$6),1,0)</f>
        <v>1</v>
      </c>
      <c r="D926" s="44">
        <f t="shared" si="42"/>
        <v>925</v>
      </c>
      <c r="E926" s="45" t="s">
        <v>1089</v>
      </c>
      <c r="F926" s="46" t="s">
        <v>2837</v>
      </c>
    </row>
    <row r="927" spans="1:6" ht="17">
      <c r="A927" s="15">
        <f t="shared" ca="1" si="40"/>
        <v>727</v>
      </c>
      <c r="B927" s="16">
        <f t="shared" ca="1" si="41"/>
        <v>0.61352716235314542</v>
      </c>
      <c r="C927" s="17">
        <f>IF(AND(問題解答データベース!D927&gt;=小テスト!$C$6,D927&lt;=小テスト!$E$6),1,0)</f>
        <v>1</v>
      </c>
      <c r="D927" s="44">
        <f t="shared" si="42"/>
        <v>926</v>
      </c>
      <c r="E927" s="45" t="s">
        <v>1090</v>
      </c>
      <c r="F927" s="46" t="s">
        <v>2838</v>
      </c>
    </row>
    <row r="928" spans="1:6" ht="17">
      <c r="A928" s="15">
        <f t="shared" ca="1" si="40"/>
        <v>23</v>
      </c>
      <c r="B928" s="16">
        <f t="shared" ca="1" si="41"/>
        <v>0.98981275714669048</v>
      </c>
      <c r="C928" s="17">
        <f>IF(AND(問題解答データベース!D928&gt;=小テスト!$C$6,D928&lt;=小テスト!$E$6),1,0)</f>
        <v>1</v>
      </c>
      <c r="D928" s="44">
        <f t="shared" si="42"/>
        <v>927</v>
      </c>
      <c r="E928" s="45" t="s">
        <v>1091</v>
      </c>
      <c r="F928" s="46" t="s">
        <v>2839</v>
      </c>
    </row>
    <row r="929" spans="1:6" ht="17">
      <c r="A929" s="15">
        <f t="shared" ca="1" si="40"/>
        <v>1371</v>
      </c>
      <c r="B929" s="16">
        <f t="shared" ca="1" si="41"/>
        <v>0.28002192166798845</v>
      </c>
      <c r="C929" s="17">
        <f>IF(AND(問題解答データベース!D929&gt;=小テスト!$C$6,D929&lt;=小テスト!$E$6),1,0)</f>
        <v>1</v>
      </c>
      <c r="D929" s="44">
        <f t="shared" si="42"/>
        <v>928</v>
      </c>
      <c r="E929" s="45" t="s">
        <v>1092</v>
      </c>
      <c r="F929" s="46" t="s">
        <v>2840</v>
      </c>
    </row>
    <row r="930" spans="1:6" ht="17">
      <c r="A930" s="15">
        <f t="shared" ca="1" si="40"/>
        <v>957</v>
      </c>
      <c r="B930" s="16">
        <f t="shared" ca="1" si="41"/>
        <v>0.49597880383754833</v>
      </c>
      <c r="C930" s="17">
        <f>IF(AND(問題解答データベース!D930&gt;=小テスト!$C$6,D930&lt;=小テスト!$E$6),1,0)</f>
        <v>1</v>
      </c>
      <c r="D930" s="44">
        <f t="shared" si="42"/>
        <v>929</v>
      </c>
      <c r="E930" s="45" t="s">
        <v>1093</v>
      </c>
      <c r="F930" s="46" t="s">
        <v>2841</v>
      </c>
    </row>
    <row r="931" spans="1:6" ht="17">
      <c r="A931" s="15">
        <f t="shared" ca="1" si="40"/>
        <v>876</v>
      </c>
      <c r="B931" s="16">
        <f t="shared" ca="1" si="41"/>
        <v>0.53389624595410667</v>
      </c>
      <c r="C931" s="17">
        <f>IF(AND(問題解答データベース!D931&gt;=小テスト!$C$6,D931&lt;=小テスト!$E$6),1,0)</f>
        <v>1</v>
      </c>
      <c r="D931" s="44">
        <f t="shared" si="42"/>
        <v>930</v>
      </c>
      <c r="E931" s="45" t="s">
        <v>1094</v>
      </c>
      <c r="F931" s="46" t="s">
        <v>2842</v>
      </c>
    </row>
    <row r="932" spans="1:6" ht="17">
      <c r="A932" s="15">
        <f t="shared" ca="1" si="40"/>
        <v>664</v>
      </c>
      <c r="B932" s="16">
        <f t="shared" ca="1" si="41"/>
        <v>0.65090401247847163</v>
      </c>
      <c r="C932" s="17">
        <f>IF(AND(問題解答データベース!D932&gt;=小テスト!$C$6,D932&lt;=小テスト!$E$6),1,0)</f>
        <v>1</v>
      </c>
      <c r="D932" s="44">
        <f t="shared" si="42"/>
        <v>931</v>
      </c>
      <c r="E932" s="45" t="s">
        <v>1095</v>
      </c>
      <c r="F932" s="46" t="s">
        <v>2843</v>
      </c>
    </row>
    <row r="933" spans="1:6" ht="17">
      <c r="A933" s="15">
        <f t="shared" ca="1" si="40"/>
        <v>1572</v>
      </c>
      <c r="B933" s="16">
        <f t="shared" ca="1" si="41"/>
        <v>0.16781318988443383</v>
      </c>
      <c r="C933" s="17">
        <f>IF(AND(問題解答データベース!D933&gt;=小テスト!$C$6,D933&lt;=小テスト!$E$6),1,0)</f>
        <v>1</v>
      </c>
      <c r="D933" s="44">
        <f t="shared" si="42"/>
        <v>932</v>
      </c>
      <c r="E933" s="45" t="s">
        <v>1096</v>
      </c>
      <c r="F933" s="46" t="s">
        <v>2844</v>
      </c>
    </row>
    <row r="934" spans="1:6" ht="17">
      <c r="A934" s="15">
        <f t="shared" ca="1" si="40"/>
        <v>41</v>
      </c>
      <c r="B934" s="16">
        <f t="shared" ca="1" si="41"/>
        <v>0.9785600589728648</v>
      </c>
      <c r="C934" s="17">
        <f>IF(AND(問題解答データベース!D934&gt;=小テスト!$C$6,D934&lt;=小テスト!$E$6),1,0)</f>
        <v>1</v>
      </c>
      <c r="D934" s="44">
        <f t="shared" si="42"/>
        <v>933</v>
      </c>
      <c r="E934" s="45" t="s">
        <v>1097</v>
      </c>
      <c r="F934" s="46" t="s">
        <v>2845</v>
      </c>
    </row>
    <row r="935" spans="1:6" ht="17">
      <c r="A935" s="15">
        <f t="shared" ca="1" si="40"/>
        <v>177</v>
      </c>
      <c r="B935" s="16">
        <f t="shared" ca="1" si="41"/>
        <v>0.91488664593006674</v>
      </c>
      <c r="C935" s="17">
        <f>IF(AND(問題解答データベース!D935&gt;=小テスト!$C$6,D935&lt;=小テスト!$E$6),1,0)</f>
        <v>1</v>
      </c>
      <c r="D935" s="44">
        <f t="shared" si="42"/>
        <v>934</v>
      </c>
      <c r="E935" s="45" t="s">
        <v>1098</v>
      </c>
      <c r="F935" s="46" t="s">
        <v>2846</v>
      </c>
    </row>
    <row r="936" spans="1:6" ht="17">
      <c r="A936" s="15">
        <f t="shared" ca="1" si="40"/>
        <v>882</v>
      </c>
      <c r="B936" s="16">
        <f t="shared" ca="1" si="41"/>
        <v>0.53210298341079709</v>
      </c>
      <c r="C936" s="17">
        <f>IF(AND(問題解答データベース!D936&gt;=小テスト!$C$6,D936&lt;=小テスト!$E$6),1,0)</f>
        <v>1</v>
      </c>
      <c r="D936" s="44">
        <f t="shared" si="42"/>
        <v>935</v>
      </c>
      <c r="E936" s="45" t="s">
        <v>1099</v>
      </c>
      <c r="F936" s="46" t="s">
        <v>2847</v>
      </c>
    </row>
    <row r="937" spans="1:6" ht="17">
      <c r="A937" s="15">
        <f t="shared" ca="1" si="40"/>
        <v>1332</v>
      </c>
      <c r="B937" s="16">
        <f t="shared" ca="1" si="41"/>
        <v>0.30052419743750536</v>
      </c>
      <c r="C937" s="17">
        <f>IF(AND(問題解答データベース!D937&gt;=小テスト!$C$6,D937&lt;=小テスト!$E$6),1,0)</f>
        <v>1</v>
      </c>
      <c r="D937" s="44">
        <f t="shared" si="42"/>
        <v>936</v>
      </c>
      <c r="E937" s="45" t="s">
        <v>1100</v>
      </c>
      <c r="F937" s="46" t="s">
        <v>2848</v>
      </c>
    </row>
    <row r="938" spans="1:6" ht="17">
      <c r="A938" s="15">
        <f t="shared" ca="1" si="40"/>
        <v>1399</v>
      </c>
      <c r="B938" s="16">
        <f t="shared" ca="1" si="41"/>
        <v>0.26605409038017547</v>
      </c>
      <c r="C938" s="17">
        <f>IF(AND(問題解答データベース!D938&gt;=小テスト!$C$6,D938&lt;=小テスト!$E$6),1,0)</f>
        <v>1</v>
      </c>
      <c r="D938" s="44">
        <f t="shared" si="42"/>
        <v>937</v>
      </c>
      <c r="E938" s="45" t="s">
        <v>1101</v>
      </c>
      <c r="F938" s="46" t="s">
        <v>2849</v>
      </c>
    </row>
    <row r="939" spans="1:6" ht="17">
      <c r="A939" s="15">
        <f t="shared" ca="1" si="40"/>
        <v>180</v>
      </c>
      <c r="B939" s="16">
        <f t="shared" ca="1" si="41"/>
        <v>0.91434203806493752</v>
      </c>
      <c r="C939" s="17">
        <f>IF(AND(問題解答データベース!D939&gt;=小テスト!$C$6,D939&lt;=小テスト!$E$6),1,0)</f>
        <v>1</v>
      </c>
      <c r="D939" s="44">
        <f t="shared" si="42"/>
        <v>938</v>
      </c>
      <c r="E939" s="45" t="s">
        <v>1102</v>
      </c>
      <c r="F939" s="46" t="s">
        <v>2850</v>
      </c>
    </row>
    <row r="940" spans="1:6" ht="17">
      <c r="A940" s="15">
        <f t="shared" ca="1" si="40"/>
        <v>1119</v>
      </c>
      <c r="B940" s="16">
        <f t="shared" ca="1" si="41"/>
        <v>0.41473256786183754</v>
      </c>
      <c r="C940" s="17">
        <f>IF(AND(問題解答データベース!D940&gt;=小テスト!$C$6,D940&lt;=小テスト!$E$6),1,0)</f>
        <v>1</v>
      </c>
      <c r="D940" s="44">
        <f t="shared" si="42"/>
        <v>939</v>
      </c>
      <c r="E940" s="45" t="s">
        <v>1103</v>
      </c>
      <c r="F940" s="46" t="s">
        <v>2851</v>
      </c>
    </row>
    <row r="941" spans="1:6" ht="17">
      <c r="A941" s="15">
        <f t="shared" ca="1" si="40"/>
        <v>205</v>
      </c>
      <c r="B941" s="16">
        <f t="shared" ca="1" si="41"/>
        <v>0.89991495148693745</v>
      </c>
      <c r="C941" s="17">
        <f>IF(AND(問題解答データベース!D941&gt;=小テスト!$C$6,D941&lt;=小テスト!$E$6),1,0)</f>
        <v>1</v>
      </c>
      <c r="D941" s="44">
        <f t="shared" si="42"/>
        <v>940</v>
      </c>
      <c r="E941" s="45" t="s">
        <v>1104</v>
      </c>
      <c r="F941" s="46" t="s">
        <v>2852</v>
      </c>
    </row>
    <row r="942" spans="1:6" ht="17">
      <c r="A942" s="15">
        <f t="shared" ca="1" si="40"/>
        <v>1516</v>
      </c>
      <c r="B942" s="16">
        <f t="shared" ca="1" si="41"/>
        <v>0.19489869480418398</v>
      </c>
      <c r="C942" s="17">
        <f>IF(AND(問題解答データベース!D942&gt;=小テスト!$C$6,D942&lt;=小テスト!$E$6),1,0)</f>
        <v>1</v>
      </c>
      <c r="D942" s="44">
        <f t="shared" si="42"/>
        <v>941</v>
      </c>
      <c r="E942" s="45" t="s">
        <v>1105</v>
      </c>
      <c r="F942" s="46" t="s">
        <v>2853</v>
      </c>
    </row>
    <row r="943" spans="1:6" ht="17">
      <c r="A943" s="15">
        <f t="shared" ca="1" si="40"/>
        <v>487</v>
      </c>
      <c r="B943" s="16">
        <f t="shared" ca="1" si="41"/>
        <v>0.74860041717379966</v>
      </c>
      <c r="C943" s="17">
        <f>IF(AND(問題解答データベース!D943&gt;=小テスト!$C$6,D943&lt;=小テスト!$E$6),1,0)</f>
        <v>1</v>
      </c>
      <c r="D943" s="44">
        <f t="shared" si="42"/>
        <v>942</v>
      </c>
      <c r="E943" s="45" t="s">
        <v>1106</v>
      </c>
      <c r="F943" s="46" t="s">
        <v>2854</v>
      </c>
    </row>
    <row r="944" spans="1:6" ht="17">
      <c r="A944" s="15">
        <f t="shared" ca="1" si="40"/>
        <v>1892</v>
      </c>
      <c r="B944" s="16">
        <f t="shared" ca="1" si="41"/>
        <v>4.1186974002552779E-3</v>
      </c>
      <c r="C944" s="17">
        <f>IF(AND(問題解答データベース!D944&gt;=小テスト!$C$6,D944&lt;=小テスト!$E$6),1,0)</f>
        <v>1</v>
      </c>
      <c r="D944" s="44">
        <f t="shared" si="42"/>
        <v>943</v>
      </c>
      <c r="E944" s="45" t="s">
        <v>1107</v>
      </c>
      <c r="F944" s="46" t="s">
        <v>2855</v>
      </c>
    </row>
    <row r="945" spans="1:6" ht="17">
      <c r="A945" s="15">
        <f t="shared" ca="1" si="40"/>
        <v>780</v>
      </c>
      <c r="B945" s="16">
        <f t="shared" ca="1" si="41"/>
        <v>0.58798221890461766</v>
      </c>
      <c r="C945" s="17">
        <f>IF(AND(問題解答データベース!D945&gt;=小テスト!$C$6,D945&lt;=小テスト!$E$6),1,0)</f>
        <v>1</v>
      </c>
      <c r="D945" s="44">
        <f t="shared" si="42"/>
        <v>944</v>
      </c>
      <c r="E945" s="45" t="s">
        <v>1108</v>
      </c>
      <c r="F945" s="46" t="s">
        <v>2856</v>
      </c>
    </row>
    <row r="946" spans="1:6" ht="17">
      <c r="A946" s="15">
        <f t="shared" ca="1" si="40"/>
        <v>838</v>
      </c>
      <c r="B946" s="16">
        <f t="shared" ca="1" si="41"/>
        <v>0.5529566545456891</v>
      </c>
      <c r="C946" s="17">
        <f>IF(AND(問題解答データベース!D946&gt;=小テスト!$C$6,D946&lt;=小テスト!$E$6),1,0)</f>
        <v>1</v>
      </c>
      <c r="D946" s="44">
        <f t="shared" si="42"/>
        <v>945</v>
      </c>
      <c r="E946" s="45" t="s">
        <v>1109</v>
      </c>
      <c r="F946" s="46" t="s">
        <v>2857</v>
      </c>
    </row>
    <row r="947" spans="1:6" ht="17">
      <c r="A947" s="15">
        <f t="shared" ca="1" si="40"/>
        <v>141</v>
      </c>
      <c r="B947" s="16">
        <f t="shared" ca="1" si="41"/>
        <v>0.93137396780648773</v>
      </c>
      <c r="C947" s="17">
        <f>IF(AND(問題解答データベース!D947&gt;=小テスト!$C$6,D947&lt;=小テスト!$E$6),1,0)</f>
        <v>1</v>
      </c>
      <c r="D947" s="44">
        <f t="shared" si="42"/>
        <v>946</v>
      </c>
      <c r="E947" s="45" t="s">
        <v>1110</v>
      </c>
      <c r="F947" s="46" t="s">
        <v>2858</v>
      </c>
    </row>
    <row r="948" spans="1:6" ht="17">
      <c r="A948" s="15">
        <f t="shared" ca="1" si="40"/>
        <v>1272</v>
      </c>
      <c r="B948" s="16">
        <f t="shared" ca="1" si="41"/>
        <v>0.33751707501661776</v>
      </c>
      <c r="C948" s="17">
        <f>IF(AND(問題解答データベース!D948&gt;=小テスト!$C$6,D948&lt;=小テスト!$E$6),1,0)</f>
        <v>1</v>
      </c>
      <c r="D948" s="44">
        <f t="shared" si="42"/>
        <v>947</v>
      </c>
      <c r="E948" s="45" t="s">
        <v>1111</v>
      </c>
      <c r="F948" s="46" t="s">
        <v>2859</v>
      </c>
    </row>
    <row r="949" spans="1:6" ht="17">
      <c r="A949" s="15">
        <f t="shared" ca="1" si="40"/>
        <v>1663</v>
      </c>
      <c r="B949" s="16">
        <f t="shared" ca="1" si="41"/>
        <v>0.12105654820758116</v>
      </c>
      <c r="C949" s="17">
        <f>IF(AND(問題解答データベース!D949&gt;=小テスト!$C$6,D949&lt;=小テスト!$E$6),1,0)</f>
        <v>1</v>
      </c>
      <c r="D949" s="44">
        <f t="shared" si="42"/>
        <v>948</v>
      </c>
      <c r="E949" s="45" t="s">
        <v>1112</v>
      </c>
      <c r="F949" s="46" t="s">
        <v>2860</v>
      </c>
    </row>
    <row r="950" spans="1:6" ht="17">
      <c r="A950" s="15">
        <f t="shared" ca="1" si="40"/>
        <v>198</v>
      </c>
      <c r="B950" s="16">
        <f t="shared" ca="1" si="41"/>
        <v>0.9032403666790364</v>
      </c>
      <c r="C950" s="17">
        <f>IF(AND(問題解答データベース!D950&gt;=小テスト!$C$6,D950&lt;=小テスト!$E$6),1,0)</f>
        <v>1</v>
      </c>
      <c r="D950" s="44">
        <f t="shared" si="42"/>
        <v>949</v>
      </c>
      <c r="E950" s="45" t="s">
        <v>1113</v>
      </c>
      <c r="F950" s="46" t="s">
        <v>2861</v>
      </c>
    </row>
    <row r="951" spans="1:6" ht="17">
      <c r="A951" s="15">
        <f t="shared" ca="1" si="40"/>
        <v>27</v>
      </c>
      <c r="B951" s="16">
        <f t="shared" ca="1" si="41"/>
        <v>0.98709879214951501</v>
      </c>
      <c r="C951" s="17">
        <f>IF(AND(問題解答データベース!D951&gt;=小テスト!$C$6,D951&lt;=小テスト!$E$6),1,0)</f>
        <v>1</v>
      </c>
      <c r="D951" s="44">
        <f t="shared" si="42"/>
        <v>950</v>
      </c>
      <c r="E951" s="45" t="s">
        <v>1114</v>
      </c>
      <c r="F951" s="46" t="s">
        <v>2862</v>
      </c>
    </row>
    <row r="952" spans="1:6" ht="17">
      <c r="A952" s="15">
        <f t="shared" ca="1" si="40"/>
        <v>1000</v>
      </c>
      <c r="B952" s="16">
        <f t="shared" ca="1" si="41"/>
        <v>0.47825840991568325</v>
      </c>
      <c r="C952" s="17">
        <f>IF(AND(問題解答データベース!D952&gt;=小テスト!$C$6,D952&lt;=小テスト!$E$6),1,0)</f>
        <v>1</v>
      </c>
      <c r="D952" s="44">
        <f t="shared" si="42"/>
        <v>951</v>
      </c>
      <c r="E952" s="45" t="s">
        <v>1115</v>
      </c>
      <c r="F952" s="46" t="s">
        <v>2863</v>
      </c>
    </row>
    <row r="953" spans="1:6" ht="17">
      <c r="A953" s="15">
        <f t="shared" ca="1" si="40"/>
        <v>570</v>
      </c>
      <c r="B953" s="16">
        <f t="shared" ca="1" si="41"/>
        <v>0.70370874194432553</v>
      </c>
      <c r="C953" s="17">
        <f>IF(AND(問題解答データベース!D953&gt;=小テスト!$C$6,D953&lt;=小テスト!$E$6),1,0)</f>
        <v>1</v>
      </c>
      <c r="D953" s="44">
        <f t="shared" si="42"/>
        <v>952</v>
      </c>
      <c r="E953" s="45" t="s">
        <v>1116</v>
      </c>
      <c r="F953" s="46" t="s">
        <v>2864</v>
      </c>
    </row>
    <row r="954" spans="1:6" ht="17">
      <c r="A954" s="15">
        <f t="shared" ca="1" si="40"/>
        <v>861</v>
      </c>
      <c r="B954" s="16">
        <f t="shared" ca="1" si="41"/>
        <v>0.54136779814560265</v>
      </c>
      <c r="C954" s="17">
        <f>IF(AND(問題解答データベース!D954&gt;=小テスト!$C$6,D954&lt;=小テスト!$E$6),1,0)</f>
        <v>1</v>
      </c>
      <c r="D954" s="44">
        <f t="shared" si="42"/>
        <v>953</v>
      </c>
      <c r="E954" s="45" t="s">
        <v>1117</v>
      </c>
      <c r="F954" s="46" t="s">
        <v>2865</v>
      </c>
    </row>
    <row r="955" spans="1:6" ht="17">
      <c r="A955" s="15">
        <f t="shared" ca="1" si="40"/>
        <v>1323</v>
      </c>
      <c r="B955" s="16">
        <f t="shared" ca="1" si="41"/>
        <v>0.30637483309819047</v>
      </c>
      <c r="C955" s="17">
        <f>IF(AND(問題解答データベース!D955&gt;=小テスト!$C$6,D955&lt;=小テスト!$E$6),1,0)</f>
        <v>1</v>
      </c>
      <c r="D955" s="44">
        <f t="shared" si="42"/>
        <v>954</v>
      </c>
      <c r="E955" s="45" t="s">
        <v>1118</v>
      </c>
      <c r="F955" s="46" t="s">
        <v>2866</v>
      </c>
    </row>
    <row r="956" spans="1:6" ht="17">
      <c r="A956" s="15">
        <f t="shared" ca="1" si="40"/>
        <v>1861</v>
      </c>
      <c r="B956" s="16">
        <f t="shared" ca="1" si="41"/>
        <v>1.7364021778239258E-2</v>
      </c>
      <c r="C956" s="17">
        <f>IF(AND(問題解答データベース!D956&gt;=小テスト!$C$6,D956&lt;=小テスト!$E$6),1,0)</f>
        <v>1</v>
      </c>
      <c r="D956" s="44">
        <f t="shared" si="42"/>
        <v>955</v>
      </c>
      <c r="E956" s="45" t="s">
        <v>1119</v>
      </c>
      <c r="F956" s="46" t="s">
        <v>2867</v>
      </c>
    </row>
    <row r="957" spans="1:6" ht="17">
      <c r="A957" s="15">
        <f t="shared" ca="1" si="40"/>
        <v>1331</v>
      </c>
      <c r="B957" s="16">
        <f t="shared" ca="1" si="41"/>
        <v>0.30258925681325033</v>
      </c>
      <c r="C957" s="17">
        <f>IF(AND(問題解答データベース!D957&gt;=小テスト!$C$6,D957&lt;=小テスト!$E$6),1,0)</f>
        <v>1</v>
      </c>
      <c r="D957" s="44">
        <f t="shared" si="42"/>
        <v>956</v>
      </c>
      <c r="E957" s="45" t="s">
        <v>1120</v>
      </c>
      <c r="F957" s="46" t="s">
        <v>2868</v>
      </c>
    </row>
    <row r="958" spans="1:6" ht="17">
      <c r="A958" s="15">
        <f t="shared" ca="1" si="40"/>
        <v>1753</v>
      </c>
      <c r="B958" s="16">
        <f t="shared" ca="1" si="41"/>
        <v>7.3117676801053078E-2</v>
      </c>
      <c r="C958" s="17">
        <f>IF(AND(問題解答データベース!D958&gt;=小テスト!$C$6,D958&lt;=小テスト!$E$6),1,0)</f>
        <v>1</v>
      </c>
      <c r="D958" s="44">
        <f t="shared" si="42"/>
        <v>957</v>
      </c>
      <c r="E958" s="45" t="s">
        <v>1121</v>
      </c>
      <c r="F958" s="46" t="s">
        <v>2869</v>
      </c>
    </row>
    <row r="959" spans="1:6" ht="17">
      <c r="A959" s="15">
        <f t="shared" ca="1" si="40"/>
        <v>770</v>
      </c>
      <c r="B959" s="16">
        <f t="shared" ca="1" si="41"/>
        <v>0.59365556235871719</v>
      </c>
      <c r="C959" s="17">
        <f>IF(AND(問題解答データベース!D959&gt;=小テスト!$C$6,D959&lt;=小テスト!$E$6),1,0)</f>
        <v>1</v>
      </c>
      <c r="D959" s="44">
        <f t="shared" si="42"/>
        <v>958</v>
      </c>
      <c r="E959" s="45" t="s">
        <v>1122</v>
      </c>
      <c r="F959" s="46" t="s">
        <v>2870</v>
      </c>
    </row>
    <row r="960" spans="1:6" ht="17">
      <c r="A960" s="15">
        <f t="shared" ca="1" si="40"/>
        <v>334</v>
      </c>
      <c r="B960" s="16">
        <f t="shared" ca="1" si="41"/>
        <v>0.81934757182668194</v>
      </c>
      <c r="C960" s="17">
        <f>IF(AND(問題解答データベース!D960&gt;=小テスト!$C$6,D960&lt;=小テスト!$E$6),1,0)</f>
        <v>1</v>
      </c>
      <c r="D960" s="44">
        <f t="shared" si="42"/>
        <v>959</v>
      </c>
      <c r="E960" s="45" t="s">
        <v>1123</v>
      </c>
      <c r="F960" s="46" t="s">
        <v>2871</v>
      </c>
    </row>
    <row r="961" spans="1:6" ht="17">
      <c r="A961" s="15">
        <f t="shared" ca="1" si="40"/>
        <v>913</v>
      </c>
      <c r="B961" s="16">
        <f t="shared" ca="1" si="41"/>
        <v>0.51762009079549742</v>
      </c>
      <c r="C961" s="17">
        <f>IF(AND(問題解答データベース!D961&gt;=小テスト!$C$6,D961&lt;=小テスト!$E$6),1,0)</f>
        <v>1</v>
      </c>
      <c r="D961" s="44">
        <f t="shared" si="42"/>
        <v>960</v>
      </c>
      <c r="E961" s="45" t="s">
        <v>1124</v>
      </c>
      <c r="F961" s="46" t="s">
        <v>2872</v>
      </c>
    </row>
    <row r="962" spans="1:6" ht="17">
      <c r="A962" s="15">
        <f t="shared" ca="1" si="40"/>
        <v>1166</v>
      </c>
      <c r="B962" s="16">
        <f t="shared" ca="1" si="41"/>
        <v>0.38602139654795009</v>
      </c>
      <c r="C962" s="17">
        <f>IF(AND(問題解答データベース!D962&gt;=小テスト!$C$6,D962&lt;=小テスト!$E$6),1,0)</f>
        <v>1</v>
      </c>
      <c r="D962" s="44">
        <f t="shared" si="42"/>
        <v>961</v>
      </c>
      <c r="E962" s="45" t="s">
        <v>1125</v>
      </c>
      <c r="F962" s="46" t="s">
        <v>2873</v>
      </c>
    </row>
    <row r="963" spans="1:6" ht="17">
      <c r="A963" s="15">
        <f t="shared" ref="A963:A1026" ca="1" si="43">RANK(B963,$B$2:$B$1901,0)</f>
        <v>1463</v>
      </c>
      <c r="B963" s="16">
        <f t="shared" ca="1" si="41"/>
        <v>0.22662349261984382</v>
      </c>
      <c r="C963" s="17">
        <f>IF(AND(問題解答データベース!D963&gt;=小テスト!$C$6,D963&lt;=小テスト!$E$6),1,0)</f>
        <v>1</v>
      </c>
      <c r="D963" s="44">
        <f t="shared" si="42"/>
        <v>962</v>
      </c>
      <c r="E963" s="45" t="s">
        <v>1126</v>
      </c>
      <c r="F963" s="46" t="s">
        <v>2874</v>
      </c>
    </row>
    <row r="964" spans="1:6" ht="17">
      <c r="A964" s="15">
        <f t="shared" ca="1" si="43"/>
        <v>1627</v>
      </c>
      <c r="B964" s="16">
        <f t="shared" ca="1" si="41"/>
        <v>0.14095018008753801</v>
      </c>
      <c r="C964" s="17">
        <f>IF(AND(問題解答データベース!D964&gt;=小テスト!$C$6,D964&lt;=小テスト!$E$6),1,0)</f>
        <v>1</v>
      </c>
      <c r="D964" s="44">
        <f t="shared" si="42"/>
        <v>963</v>
      </c>
      <c r="E964" s="45" t="s">
        <v>1127</v>
      </c>
      <c r="F964" s="46" t="s">
        <v>2875</v>
      </c>
    </row>
    <row r="965" spans="1:6" ht="17">
      <c r="A965" s="15">
        <f t="shared" ca="1" si="43"/>
        <v>1024</v>
      </c>
      <c r="B965" s="16">
        <f t="shared" ca="1" si="41"/>
        <v>0.46946870692495479</v>
      </c>
      <c r="C965" s="17">
        <f>IF(AND(問題解答データベース!D965&gt;=小テスト!$C$6,D965&lt;=小テスト!$E$6),1,0)</f>
        <v>1</v>
      </c>
      <c r="D965" s="44">
        <f t="shared" si="42"/>
        <v>964</v>
      </c>
      <c r="E965" s="45" t="s">
        <v>1128</v>
      </c>
      <c r="F965" s="46" t="s">
        <v>2876</v>
      </c>
    </row>
    <row r="966" spans="1:6" ht="17">
      <c r="A966" s="15">
        <f t="shared" ca="1" si="43"/>
        <v>843</v>
      </c>
      <c r="B966" s="16">
        <f t="shared" ca="1" si="41"/>
        <v>0.55147142459511511</v>
      </c>
      <c r="C966" s="17">
        <f>IF(AND(問題解答データベース!D966&gt;=小テスト!$C$6,D966&lt;=小テスト!$E$6),1,0)</f>
        <v>1</v>
      </c>
      <c r="D966" s="44">
        <f t="shared" si="42"/>
        <v>965</v>
      </c>
      <c r="E966" s="45" t="s">
        <v>1129</v>
      </c>
      <c r="F966" s="46" t="s">
        <v>2877</v>
      </c>
    </row>
    <row r="967" spans="1:6" ht="17">
      <c r="A967" s="15">
        <f t="shared" ca="1" si="43"/>
        <v>1157</v>
      </c>
      <c r="B967" s="16">
        <f t="shared" ca="1" si="41"/>
        <v>0.39052212216022908</v>
      </c>
      <c r="C967" s="17">
        <f>IF(AND(問題解答データベース!D967&gt;=小テスト!$C$6,D967&lt;=小テスト!$E$6),1,0)</f>
        <v>1</v>
      </c>
      <c r="D967" s="44">
        <f t="shared" si="42"/>
        <v>966</v>
      </c>
      <c r="E967" s="45" t="s">
        <v>1130</v>
      </c>
      <c r="F967" s="46" t="s">
        <v>2878</v>
      </c>
    </row>
    <row r="968" spans="1:6" ht="17">
      <c r="A968" s="15">
        <f t="shared" ca="1" si="43"/>
        <v>696</v>
      </c>
      <c r="B968" s="16">
        <f t="shared" ca="1" si="41"/>
        <v>0.62894962540897081</v>
      </c>
      <c r="C968" s="17">
        <f>IF(AND(問題解答データベース!D968&gt;=小テスト!$C$6,D968&lt;=小テスト!$E$6),1,0)</f>
        <v>1</v>
      </c>
      <c r="D968" s="44">
        <f t="shared" si="42"/>
        <v>967</v>
      </c>
      <c r="E968" s="45" t="s">
        <v>1131</v>
      </c>
      <c r="F968" s="46" t="s">
        <v>2879</v>
      </c>
    </row>
    <row r="969" spans="1:6" ht="17">
      <c r="A969" s="15">
        <f t="shared" ca="1" si="43"/>
        <v>1143</v>
      </c>
      <c r="B969" s="16">
        <f t="shared" ca="1" si="41"/>
        <v>0.4007817002793943</v>
      </c>
      <c r="C969" s="17">
        <f>IF(AND(問題解答データベース!D969&gt;=小テスト!$C$6,D969&lt;=小テスト!$E$6),1,0)</f>
        <v>1</v>
      </c>
      <c r="D969" s="44">
        <f t="shared" si="42"/>
        <v>968</v>
      </c>
      <c r="E969" s="45" t="s">
        <v>1132</v>
      </c>
      <c r="F969" s="46" t="s">
        <v>2880</v>
      </c>
    </row>
    <row r="970" spans="1:6" ht="17">
      <c r="A970" s="15">
        <f t="shared" ca="1" si="43"/>
        <v>624</v>
      </c>
      <c r="B970" s="16">
        <f t="shared" ref="B970:B1033" ca="1" si="44">IF(C970=1,RAND(),0)</f>
        <v>0.67070382350738433</v>
      </c>
      <c r="C970" s="17">
        <f>IF(AND(問題解答データベース!D970&gt;=小テスト!$C$6,D970&lt;=小テスト!$E$6),1,0)</f>
        <v>1</v>
      </c>
      <c r="D970" s="44">
        <f t="shared" si="42"/>
        <v>969</v>
      </c>
      <c r="E970" s="45" t="s">
        <v>1133</v>
      </c>
      <c r="F970" s="46" t="s">
        <v>2881</v>
      </c>
    </row>
    <row r="971" spans="1:6" ht="17">
      <c r="A971" s="15">
        <f t="shared" ca="1" si="43"/>
        <v>1003</v>
      </c>
      <c r="B971" s="16">
        <f t="shared" ca="1" si="44"/>
        <v>0.4767648068833672</v>
      </c>
      <c r="C971" s="17">
        <f>IF(AND(問題解答データベース!D971&gt;=小テスト!$C$6,D971&lt;=小テスト!$E$6),1,0)</f>
        <v>1</v>
      </c>
      <c r="D971" s="44">
        <f t="shared" si="42"/>
        <v>970</v>
      </c>
      <c r="E971" s="45" t="s">
        <v>1134</v>
      </c>
      <c r="F971" s="46" t="s">
        <v>2882</v>
      </c>
    </row>
    <row r="972" spans="1:6" ht="17">
      <c r="A972" s="15">
        <f t="shared" ca="1" si="43"/>
        <v>1885</v>
      </c>
      <c r="B972" s="16">
        <f t="shared" ca="1" si="44"/>
        <v>6.8092191706787819E-3</v>
      </c>
      <c r="C972" s="17">
        <f>IF(AND(問題解答データベース!D972&gt;=小テスト!$C$6,D972&lt;=小テスト!$E$6),1,0)</f>
        <v>1</v>
      </c>
      <c r="D972" s="44">
        <f t="shared" si="42"/>
        <v>971</v>
      </c>
      <c r="E972" s="45" t="s">
        <v>1135</v>
      </c>
      <c r="F972" s="46" t="s">
        <v>2883</v>
      </c>
    </row>
    <row r="973" spans="1:6" ht="17">
      <c r="A973" s="15">
        <f t="shared" ca="1" si="43"/>
        <v>1789</v>
      </c>
      <c r="B973" s="16">
        <f t="shared" ca="1" si="44"/>
        <v>5.361635223009098E-2</v>
      </c>
      <c r="C973" s="17">
        <f>IF(AND(問題解答データベース!D973&gt;=小テスト!$C$6,D973&lt;=小テスト!$E$6),1,0)</f>
        <v>1</v>
      </c>
      <c r="D973" s="44">
        <f t="shared" ref="D973:D1036" si="45">D972+1</f>
        <v>972</v>
      </c>
      <c r="E973" s="45" t="s">
        <v>1136</v>
      </c>
      <c r="F973" s="46" t="s">
        <v>2884</v>
      </c>
    </row>
    <row r="974" spans="1:6" ht="17">
      <c r="A974" s="15">
        <f t="shared" ca="1" si="43"/>
        <v>137</v>
      </c>
      <c r="B974" s="16">
        <f t="shared" ca="1" si="44"/>
        <v>0.93378631462768913</v>
      </c>
      <c r="C974" s="17">
        <f>IF(AND(問題解答データベース!D974&gt;=小テスト!$C$6,D974&lt;=小テスト!$E$6),1,0)</f>
        <v>1</v>
      </c>
      <c r="D974" s="44">
        <f t="shared" si="45"/>
        <v>973</v>
      </c>
      <c r="E974" s="45" t="s">
        <v>1137</v>
      </c>
      <c r="F974" s="46" t="s">
        <v>2885</v>
      </c>
    </row>
    <row r="975" spans="1:6" ht="17">
      <c r="A975" s="15">
        <f t="shared" ca="1" si="43"/>
        <v>445</v>
      </c>
      <c r="B975" s="16">
        <f t="shared" ca="1" si="44"/>
        <v>0.76633829186760705</v>
      </c>
      <c r="C975" s="17">
        <f>IF(AND(問題解答データベース!D975&gt;=小テスト!$C$6,D975&lt;=小テスト!$E$6),1,0)</f>
        <v>1</v>
      </c>
      <c r="D975" s="44">
        <f t="shared" si="45"/>
        <v>974</v>
      </c>
      <c r="E975" s="45" t="s">
        <v>1138</v>
      </c>
      <c r="F975" s="46" t="s">
        <v>2886</v>
      </c>
    </row>
    <row r="976" spans="1:6" ht="17">
      <c r="A976" s="15">
        <f t="shared" ca="1" si="43"/>
        <v>1353</v>
      </c>
      <c r="B976" s="16">
        <f t="shared" ca="1" si="44"/>
        <v>0.29127022485803977</v>
      </c>
      <c r="C976" s="17">
        <f>IF(AND(問題解答データベース!D976&gt;=小テスト!$C$6,D976&lt;=小テスト!$E$6),1,0)</f>
        <v>1</v>
      </c>
      <c r="D976" s="44">
        <f t="shared" si="45"/>
        <v>975</v>
      </c>
      <c r="E976" s="45" t="s">
        <v>1139</v>
      </c>
      <c r="F976" s="46" t="s">
        <v>2887</v>
      </c>
    </row>
    <row r="977" spans="1:6" ht="17">
      <c r="A977" s="15">
        <f t="shared" ca="1" si="43"/>
        <v>1482</v>
      </c>
      <c r="B977" s="16">
        <f t="shared" ca="1" si="44"/>
        <v>0.21380202409409244</v>
      </c>
      <c r="C977" s="17">
        <f>IF(AND(問題解答データベース!D977&gt;=小テスト!$C$6,D977&lt;=小テスト!$E$6),1,0)</f>
        <v>1</v>
      </c>
      <c r="D977" s="44">
        <f t="shared" si="45"/>
        <v>976</v>
      </c>
      <c r="E977" s="45" t="s">
        <v>1140</v>
      </c>
      <c r="F977" s="46" t="s">
        <v>2888</v>
      </c>
    </row>
    <row r="978" spans="1:6" ht="17">
      <c r="A978" s="15">
        <f t="shared" ca="1" si="43"/>
        <v>311</v>
      </c>
      <c r="B978" s="16">
        <f t="shared" ca="1" si="44"/>
        <v>0.83790093361643336</v>
      </c>
      <c r="C978" s="17">
        <f>IF(AND(問題解答データベース!D978&gt;=小テスト!$C$6,D978&lt;=小テスト!$E$6),1,0)</f>
        <v>1</v>
      </c>
      <c r="D978" s="44">
        <f t="shared" si="45"/>
        <v>977</v>
      </c>
      <c r="E978" s="45" t="s">
        <v>1141</v>
      </c>
      <c r="F978" s="46" t="s">
        <v>2889</v>
      </c>
    </row>
    <row r="979" spans="1:6" ht="17">
      <c r="A979" s="15">
        <f t="shared" ca="1" si="43"/>
        <v>268</v>
      </c>
      <c r="B979" s="16">
        <f t="shared" ca="1" si="44"/>
        <v>0.86114879653405141</v>
      </c>
      <c r="C979" s="17">
        <f>IF(AND(問題解答データベース!D979&gt;=小テスト!$C$6,D979&lt;=小テスト!$E$6),1,0)</f>
        <v>1</v>
      </c>
      <c r="D979" s="44">
        <f t="shared" si="45"/>
        <v>978</v>
      </c>
      <c r="E979" s="45" t="s">
        <v>1142</v>
      </c>
      <c r="F979" s="46" t="s">
        <v>2890</v>
      </c>
    </row>
    <row r="980" spans="1:6" ht="17">
      <c r="A980" s="15">
        <f t="shared" ca="1" si="43"/>
        <v>1301</v>
      </c>
      <c r="B980" s="16">
        <f t="shared" ca="1" si="44"/>
        <v>0.32188387850681599</v>
      </c>
      <c r="C980" s="17">
        <f>IF(AND(問題解答データベース!D980&gt;=小テスト!$C$6,D980&lt;=小テスト!$E$6),1,0)</f>
        <v>1</v>
      </c>
      <c r="D980" s="44">
        <f t="shared" si="45"/>
        <v>979</v>
      </c>
      <c r="E980" s="45" t="s">
        <v>1143</v>
      </c>
      <c r="F980" s="46" t="s">
        <v>2891</v>
      </c>
    </row>
    <row r="981" spans="1:6" ht="17">
      <c r="A981" s="15">
        <f t="shared" ca="1" si="43"/>
        <v>341</v>
      </c>
      <c r="B981" s="16">
        <f t="shared" ca="1" si="44"/>
        <v>0.81737493933713379</v>
      </c>
      <c r="C981" s="17">
        <f>IF(AND(問題解答データベース!D981&gt;=小テスト!$C$6,D981&lt;=小テスト!$E$6),1,0)</f>
        <v>1</v>
      </c>
      <c r="D981" s="44">
        <f t="shared" si="45"/>
        <v>980</v>
      </c>
      <c r="E981" s="45" t="s">
        <v>1144</v>
      </c>
      <c r="F981" s="46" t="s">
        <v>2892</v>
      </c>
    </row>
    <row r="982" spans="1:6" ht="17">
      <c r="A982" s="15">
        <f t="shared" ca="1" si="43"/>
        <v>1241</v>
      </c>
      <c r="B982" s="16">
        <f t="shared" ca="1" si="44"/>
        <v>0.35571681804735489</v>
      </c>
      <c r="C982" s="17">
        <f>IF(AND(問題解答データベース!D982&gt;=小テスト!$C$6,D982&lt;=小テスト!$E$6),1,0)</f>
        <v>1</v>
      </c>
      <c r="D982" s="44">
        <f t="shared" si="45"/>
        <v>981</v>
      </c>
      <c r="E982" s="45" t="s">
        <v>1145</v>
      </c>
      <c r="F982" s="46" t="s">
        <v>2893</v>
      </c>
    </row>
    <row r="983" spans="1:6" ht="17">
      <c r="A983" s="15">
        <f t="shared" ca="1" si="43"/>
        <v>964</v>
      </c>
      <c r="B983" s="16">
        <f t="shared" ca="1" si="44"/>
        <v>0.49244820840751979</v>
      </c>
      <c r="C983" s="17">
        <f>IF(AND(問題解答データベース!D983&gt;=小テスト!$C$6,D983&lt;=小テスト!$E$6),1,0)</f>
        <v>1</v>
      </c>
      <c r="D983" s="44">
        <f t="shared" si="45"/>
        <v>982</v>
      </c>
      <c r="E983" s="45" t="s">
        <v>1146</v>
      </c>
      <c r="F983" s="46" t="s">
        <v>2894</v>
      </c>
    </row>
    <row r="984" spans="1:6" ht="17">
      <c r="A984" s="15">
        <f t="shared" ca="1" si="43"/>
        <v>597</v>
      </c>
      <c r="B984" s="16">
        <f t="shared" ca="1" si="44"/>
        <v>0.68568328826604963</v>
      </c>
      <c r="C984" s="17">
        <f>IF(AND(問題解答データベース!D984&gt;=小テスト!$C$6,D984&lt;=小テスト!$E$6),1,0)</f>
        <v>1</v>
      </c>
      <c r="D984" s="44">
        <f t="shared" si="45"/>
        <v>983</v>
      </c>
      <c r="E984" s="45" t="s">
        <v>1147</v>
      </c>
      <c r="F984" s="46" t="s">
        <v>2895</v>
      </c>
    </row>
    <row r="985" spans="1:6" ht="17">
      <c r="A985" s="15">
        <f t="shared" ca="1" si="43"/>
        <v>909</v>
      </c>
      <c r="B985" s="16">
        <f t="shared" ca="1" si="44"/>
        <v>0.51997417177719119</v>
      </c>
      <c r="C985" s="17">
        <f>IF(AND(問題解答データベース!D985&gt;=小テスト!$C$6,D985&lt;=小テスト!$E$6),1,0)</f>
        <v>1</v>
      </c>
      <c r="D985" s="44">
        <f t="shared" si="45"/>
        <v>984</v>
      </c>
      <c r="E985" s="45" t="s">
        <v>1148</v>
      </c>
      <c r="F985" s="46" t="s">
        <v>2896</v>
      </c>
    </row>
    <row r="986" spans="1:6" ht="17">
      <c r="A986" s="15">
        <f t="shared" ca="1" si="43"/>
        <v>1882</v>
      </c>
      <c r="B986" s="16">
        <f t="shared" ca="1" si="44"/>
        <v>8.8752277258365986E-3</v>
      </c>
      <c r="C986" s="17">
        <f>IF(AND(問題解答データベース!D986&gt;=小テスト!$C$6,D986&lt;=小テスト!$E$6),1,0)</f>
        <v>1</v>
      </c>
      <c r="D986" s="44">
        <f t="shared" si="45"/>
        <v>985</v>
      </c>
      <c r="E986" s="45" t="s">
        <v>1149</v>
      </c>
      <c r="F986" s="46" t="s">
        <v>2897</v>
      </c>
    </row>
    <row r="987" spans="1:6" ht="17">
      <c r="A987" s="15">
        <f t="shared" ca="1" si="43"/>
        <v>507</v>
      </c>
      <c r="B987" s="16">
        <f t="shared" ca="1" si="44"/>
        <v>0.73633421309682712</v>
      </c>
      <c r="C987" s="17">
        <f>IF(AND(問題解答データベース!D987&gt;=小テスト!$C$6,D987&lt;=小テスト!$E$6),1,0)</f>
        <v>1</v>
      </c>
      <c r="D987" s="44">
        <f t="shared" si="45"/>
        <v>986</v>
      </c>
      <c r="E987" s="45" t="s">
        <v>1150</v>
      </c>
      <c r="F987" s="46" t="s">
        <v>2898</v>
      </c>
    </row>
    <row r="988" spans="1:6" ht="17">
      <c r="A988" s="15">
        <f t="shared" ca="1" si="43"/>
        <v>906</v>
      </c>
      <c r="B988" s="16">
        <f t="shared" ca="1" si="44"/>
        <v>0.5205343542413311</v>
      </c>
      <c r="C988" s="17">
        <f>IF(AND(問題解答データベース!D988&gt;=小テスト!$C$6,D988&lt;=小テスト!$E$6),1,0)</f>
        <v>1</v>
      </c>
      <c r="D988" s="44">
        <f t="shared" si="45"/>
        <v>987</v>
      </c>
      <c r="E988" s="45" t="s">
        <v>1151</v>
      </c>
      <c r="F988" s="46" t="s">
        <v>2899</v>
      </c>
    </row>
    <row r="989" spans="1:6" ht="17">
      <c r="A989" s="15">
        <f t="shared" ca="1" si="43"/>
        <v>866</v>
      </c>
      <c r="B989" s="16">
        <f t="shared" ca="1" si="44"/>
        <v>0.53964284264736384</v>
      </c>
      <c r="C989" s="17">
        <f>IF(AND(問題解答データベース!D989&gt;=小テスト!$C$6,D989&lt;=小テスト!$E$6),1,0)</f>
        <v>1</v>
      </c>
      <c r="D989" s="44">
        <f t="shared" si="45"/>
        <v>988</v>
      </c>
      <c r="E989" s="45" t="s">
        <v>1152</v>
      </c>
      <c r="F989" s="46" t="s">
        <v>2900</v>
      </c>
    </row>
    <row r="990" spans="1:6" ht="17">
      <c r="A990" s="15">
        <f t="shared" ca="1" si="43"/>
        <v>992</v>
      </c>
      <c r="B990" s="16">
        <f t="shared" ca="1" si="44"/>
        <v>0.48104235785555349</v>
      </c>
      <c r="C990" s="17">
        <f>IF(AND(問題解答データベース!D990&gt;=小テスト!$C$6,D990&lt;=小テスト!$E$6),1,0)</f>
        <v>1</v>
      </c>
      <c r="D990" s="44">
        <f t="shared" si="45"/>
        <v>989</v>
      </c>
      <c r="E990" s="45" t="s">
        <v>1153</v>
      </c>
      <c r="F990" s="46" t="s">
        <v>2901</v>
      </c>
    </row>
    <row r="991" spans="1:6" ht="17">
      <c r="A991" s="15">
        <f t="shared" ca="1" si="43"/>
        <v>432</v>
      </c>
      <c r="B991" s="16">
        <f t="shared" ca="1" si="44"/>
        <v>0.77127678886122453</v>
      </c>
      <c r="C991" s="17">
        <f>IF(AND(問題解答データベース!D991&gt;=小テスト!$C$6,D991&lt;=小テスト!$E$6),1,0)</f>
        <v>1</v>
      </c>
      <c r="D991" s="44">
        <f t="shared" si="45"/>
        <v>990</v>
      </c>
      <c r="E991" s="45" t="s">
        <v>1154</v>
      </c>
      <c r="F991" s="46" t="s">
        <v>2902</v>
      </c>
    </row>
    <row r="992" spans="1:6" ht="17">
      <c r="A992" s="15">
        <f t="shared" ca="1" si="43"/>
        <v>1893</v>
      </c>
      <c r="B992" s="16">
        <f t="shared" ca="1" si="44"/>
        <v>3.6013855441442422E-3</v>
      </c>
      <c r="C992" s="17">
        <f>IF(AND(問題解答データベース!D992&gt;=小テスト!$C$6,D992&lt;=小テスト!$E$6),1,0)</f>
        <v>1</v>
      </c>
      <c r="D992" s="44">
        <f t="shared" si="45"/>
        <v>991</v>
      </c>
      <c r="E992" s="45" t="s">
        <v>1155</v>
      </c>
      <c r="F992" s="46" t="s">
        <v>2903</v>
      </c>
    </row>
    <row r="993" spans="1:6" ht="17">
      <c r="A993" s="15">
        <f t="shared" ca="1" si="43"/>
        <v>1891</v>
      </c>
      <c r="B993" s="16">
        <f t="shared" ca="1" si="44"/>
        <v>4.2100133691626018E-3</v>
      </c>
      <c r="C993" s="17">
        <f>IF(AND(問題解答データベース!D993&gt;=小テスト!$C$6,D993&lt;=小テスト!$E$6),1,0)</f>
        <v>1</v>
      </c>
      <c r="D993" s="44">
        <f t="shared" si="45"/>
        <v>992</v>
      </c>
      <c r="E993" s="45" t="s">
        <v>1156</v>
      </c>
      <c r="F993" s="46" t="s">
        <v>2904</v>
      </c>
    </row>
    <row r="994" spans="1:6" ht="17">
      <c r="A994" s="15">
        <f t="shared" ca="1" si="43"/>
        <v>369</v>
      </c>
      <c r="B994" s="16">
        <f t="shared" ca="1" si="44"/>
        <v>0.80262660450313561</v>
      </c>
      <c r="C994" s="17">
        <f>IF(AND(問題解答データベース!D994&gt;=小テスト!$C$6,D994&lt;=小テスト!$E$6),1,0)</f>
        <v>1</v>
      </c>
      <c r="D994" s="44">
        <f t="shared" si="45"/>
        <v>993</v>
      </c>
      <c r="E994" s="45" t="s">
        <v>1157</v>
      </c>
      <c r="F994" s="46" t="s">
        <v>2905</v>
      </c>
    </row>
    <row r="995" spans="1:6" ht="17">
      <c r="A995" s="15">
        <f t="shared" ca="1" si="43"/>
        <v>1250</v>
      </c>
      <c r="B995" s="16">
        <f t="shared" ca="1" si="44"/>
        <v>0.35136547299896026</v>
      </c>
      <c r="C995" s="17">
        <f>IF(AND(問題解答データベース!D995&gt;=小テスト!$C$6,D995&lt;=小テスト!$E$6),1,0)</f>
        <v>1</v>
      </c>
      <c r="D995" s="44">
        <f t="shared" si="45"/>
        <v>994</v>
      </c>
      <c r="E995" s="45" t="s">
        <v>1158</v>
      </c>
      <c r="F995" s="46" t="s">
        <v>2906</v>
      </c>
    </row>
    <row r="996" spans="1:6" ht="17">
      <c r="A996" s="15">
        <f t="shared" ca="1" si="43"/>
        <v>706</v>
      </c>
      <c r="B996" s="16">
        <f t="shared" ca="1" si="44"/>
        <v>0.62485467059359101</v>
      </c>
      <c r="C996" s="17">
        <f>IF(AND(問題解答データベース!D996&gt;=小テスト!$C$6,D996&lt;=小テスト!$E$6),1,0)</f>
        <v>1</v>
      </c>
      <c r="D996" s="44">
        <f t="shared" si="45"/>
        <v>995</v>
      </c>
      <c r="E996" s="45" t="s">
        <v>1159</v>
      </c>
      <c r="F996" s="46" t="s">
        <v>2907</v>
      </c>
    </row>
    <row r="997" spans="1:6" ht="17">
      <c r="A997" s="15">
        <f t="shared" ca="1" si="43"/>
        <v>1638</v>
      </c>
      <c r="B997" s="16">
        <f t="shared" ca="1" si="44"/>
        <v>0.13420390778537084</v>
      </c>
      <c r="C997" s="17">
        <f>IF(AND(問題解答データベース!D997&gt;=小テスト!$C$6,D997&lt;=小テスト!$E$6),1,0)</f>
        <v>1</v>
      </c>
      <c r="D997" s="44">
        <f t="shared" si="45"/>
        <v>996</v>
      </c>
      <c r="E997" s="45" t="s">
        <v>1160</v>
      </c>
      <c r="F997" s="46" t="s">
        <v>2908</v>
      </c>
    </row>
    <row r="998" spans="1:6" ht="17">
      <c r="A998" s="15">
        <f t="shared" ca="1" si="43"/>
        <v>1625</v>
      </c>
      <c r="B998" s="16">
        <f t="shared" ca="1" si="44"/>
        <v>0.14443977591930546</v>
      </c>
      <c r="C998" s="17">
        <f>IF(AND(問題解答データベース!D998&gt;=小テスト!$C$6,D998&lt;=小テスト!$E$6),1,0)</f>
        <v>1</v>
      </c>
      <c r="D998" s="44">
        <f t="shared" si="45"/>
        <v>997</v>
      </c>
      <c r="E998" s="45" t="s">
        <v>1161</v>
      </c>
      <c r="F998" s="46" t="s">
        <v>2909</v>
      </c>
    </row>
    <row r="999" spans="1:6" ht="17">
      <c r="A999" s="15">
        <f t="shared" ca="1" si="43"/>
        <v>1677</v>
      </c>
      <c r="B999" s="16">
        <f t="shared" ca="1" si="44"/>
        <v>0.11326304353324912</v>
      </c>
      <c r="C999" s="17">
        <f>IF(AND(問題解答データベース!D999&gt;=小テスト!$C$6,D999&lt;=小テスト!$E$6),1,0)</f>
        <v>1</v>
      </c>
      <c r="D999" s="44">
        <f t="shared" si="45"/>
        <v>998</v>
      </c>
      <c r="E999" s="45" t="s">
        <v>1162</v>
      </c>
      <c r="F999" s="46" t="s">
        <v>2910</v>
      </c>
    </row>
    <row r="1000" spans="1:6" ht="17">
      <c r="A1000" s="15">
        <f t="shared" ca="1" si="43"/>
        <v>1056</v>
      </c>
      <c r="B1000" s="16">
        <f t="shared" ca="1" si="44"/>
        <v>0.45171259189522528</v>
      </c>
      <c r="C1000" s="17">
        <f>IF(AND(問題解答データベース!D1000&gt;=小テスト!$C$6,D1000&lt;=小テスト!$E$6),1,0)</f>
        <v>1</v>
      </c>
      <c r="D1000" s="44">
        <f t="shared" si="45"/>
        <v>999</v>
      </c>
      <c r="E1000" s="45" t="s">
        <v>1163</v>
      </c>
      <c r="F1000" s="46" t="s">
        <v>2911</v>
      </c>
    </row>
    <row r="1001" spans="1:6" ht="17">
      <c r="A1001" s="15">
        <f t="shared" ca="1" si="43"/>
        <v>1556</v>
      </c>
      <c r="B1001" s="16">
        <f t="shared" ca="1" si="44"/>
        <v>0.17414583991686539</v>
      </c>
      <c r="C1001" s="17">
        <f>IF(AND(問題解答データベース!D1001&gt;=小テスト!$C$6,D1001&lt;=小テスト!$E$6),1,0)</f>
        <v>1</v>
      </c>
      <c r="D1001" s="44">
        <f t="shared" si="45"/>
        <v>1000</v>
      </c>
      <c r="E1001" s="45" t="s">
        <v>1164</v>
      </c>
      <c r="F1001" s="46" t="s">
        <v>2912</v>
      </c>
    </row>
    <row r="1002" spans="1:6" ht="17">
      <c r="A1002" s="15">
        <f t="shared" ca="1" si="43"/>
        <v>1477</v>
      </c>
      <c r="B1002" s="16">
        <f t="shared" ca="1" si="44"/>
        <v>0.21961729952200837</v>
      </c>
      <c r="C1002" s="17">
        <f>IF(AND(問題解答データベース!D1002&gt;=小テスト!$C$6,D1002&lt;=小テスト!$E$6),1,0)</f>
        <v>1</v>
      </c>
      <c r="D1002" s="44">
        <f t="shared" si="45"/>
        <v>1001</v>
      </c>
      <c r="E1002" s="45" t="s">
        <v>1165</v>
      </c>
      <c r="F1002" s="46" t="s">
        <v>2913</v>
      </c>
    </row>
    <row r="1003" spans="1:6" ht="17">
      <c r="A1003" s="15">
        <f t="shared" ca="1" si="43"/>
        <v>328</v>
      </c>
      <c r="B1003" s="16">
        <f t="shared" ca="1" si="44"/>
        <v>0.82247709996546225</v>
      </c>
      <c r="C1003" s="17">
        <f>IF(AND(問題解答データベース!D1003&gt;=小テスト!$C$6,D1003&lt;=小テスト!$E$6),1,0)</f>
        <v>1</v>
      </c>
      <c r="D1003" s="44">
        <f t="shared" si="45"/>
        <v>1002</v>
      </c>
      <c r="E1003" s="45" t="s">
        <v>1166</v>
      </c>
      <c r="F1003" s="46" t="s">
        <v>2914</v>
      </c>
    </row>
    <row r="1004" spans="1:6" ht="17">
      <c r="A1004" s="15">
        <f t="shared" ca="1" si="43"/>
        <v>736</v>
      </c>
      <c r="B1004" s="16">
        <f t="shared" ca="1" si="44"/>
        <v>0.60707374669136782</v>
      </c>
      <c r="C1004" s="17">
        <f>IF(AND(問題解答データベース!D1004&gt;=小テスト!$C$6,D1004&lt;=小テスト!$E$6),1,0)</f>
        <v>1</v>
      </c>
      <c r="D1004" s="44">
        <f t="shared" si="45"/>
        <v>1003</v>
      </c>
      <c r="E1004" s="45" t="s">
        <v>1167</v>
      </c>
      <c r="F1004" s="46" t="s">
        <v>2915</v>
      </c>
    </row>
    <row r="1005" spans="1:6" ht="17">
      <c r="A1005" s="15">
        <f t="shared" ca="1" si="43"/>
        <v>1798</v>
      </c>
      <c r="B1005" s="16">
        <f t="shared" ca="1" si="44"/>
        <v>5.0048490961904335E-2</v>
      </c>
      <c r="C1005" s="17">
        <f>IF(AND(問題解答データベース!D1005&gt;=小テスト!$C$6,D1005&lt;=小テスト!$E$6),1,0)</f>
        <v>1</v>
      </c>
      <c r="D1005" s="44">
        <f t="shared" si="45"/>
        <v>1004</v>
      </c>
      <c r="E1005" s="45" t="s">
        <v>1168</v>
      </c>
      <c r="F1005" s="46" t="s">
        <v>2916</v>
      </c>
    </row>
    <row r="1006" spans="1:6" ht="17">
      <c r="A1006" s="15">
        <f t="shared" ca="1" si="43"/>
        <v>16</v>
      </c>
      <c r="B1006" s="16">
        <f t="shared" ca="1" si="44"/>
        <v>0.99387681758024327</v>
      </c>
      <c r="C1006" s="17">
        <f>IF(AND(問題解答データベース!D1006&gt;=小テスト!$C$6,D1006&lt;=小テスト!$E$6),1,0)</f>
        <v>1</v>
      </c>
      <c r="D1006" s="44">
        <f t="shared" si="45"/>
        <v>1005</v>
      </c>
      <c r="E1006" s="45" t="s">
        <v>1169</v>
      </c>
      <c r="F1006" s="46" t="s">
        <v>2917</v>
      </c>
    </row>
    <row r="1007" spans="1:6" ht="17">
      <c r="A1007" s="15">
        <f t="shared" ca="1" si="43"/>
        <v>994</v>
      </c>
      <c r="B1007" s="16">
        <f t="shared" ca="1" si="44"/>
        <v>0.48048798614614052</v>
      </c>
      <c r="C1007" s="17">
        <f>IF(AND(問題解答データベース!D1007&gt;=小テスト!$C$6,D1007&lt;=小テスト!$E$6),1,0)</f>
        <v>1</v>
      </c>
      <c r="D1007" s="44">
        <f t="shared" si="45"/>
        <v>1006</v>
      </c>
      <c r="E1007" s="45" t="s">
        <v>1170</v>
      </c>
      <c r="F1007" s="46" t="s">
        <v>2918</v>
      </c>
    </row>
    <row r="1008" spans="1:6" ht="17">
      <c r="A1008" s="15">
        <f t="shared" ca="1" si="43"/>
        <v>540</v>
      </c>
      <c r="B1008" s="16">
        <f t="shared" ca="1" si="44"/>
        <v>0.71855375787988029</v>
      </c>
      <c r="C1008" s="17">
        <f>IF(AND(問題解答データベース!D1008&gt;=小テスト!$C$6,D1008&lt;=小テスト!$E$6),1,0)</f>
        <v>1</v>
      </c>
      <c r="D1008" s="44">
        <f t="shared" si="45"/>
        <v>1007</v>
      </c>
      <c r="E1008" s="45" t="s">
        <v>1171</v>
      </c>
      <c r="F1008" s="46" t="s">
        <v>2919</v>
      </c>
    </row>
    <row r="1009" spans="1:6" ht="17">
      <c r="A1009" s="15">
        <f t="shared" ca="1" si="43"/>
        <v>188</v>
      </c>
      <c r="B1009" s="16">
        <f t="shared" ca="1" si="44"/>
        <v>0.90917361791606477</v>
      </c>
      <c r="C1009" s="17">
        <f>IF(AND(問題解答データベース!D1009&gt;=小テスト!$C$6,D1009&lt;=小テスト!$E$6),1,0)</f>
        <v>1</v>
      </c>
      <c r="D1009" s="44">
        <f t="shared" si="45"/>
        <v>1008</v>
      </c>
      <c r="E1009" s="45" t="s">
        <v>1172</v>
      </c>
      <c r="F1009" s="46" t="s">
        <v>2920</v>
      </c>
    </row>
    <row r="1010" spans="1:6" ht="17">
      <c r="A1010" s="15">
        <f t="shared" ca="1" si="43"/>
        <v>305</v>
      </c>
      <c r="B1010" s="16">
        <f t="shared" ca="1" si="44"/>
        <v>0.84382069780307811</v>
      </c>
      <c r="C1010" s="17">
        <f>IF(AND(問題解答データベース!D1010&gt;=小テスト!$C$6,D1010&lt;=小テスト!$E$6),1,0)</f>
        <v>1</v>
      </c>
      <c r="D1010" s="44">
        <f t="shared" si="45"/>
        <v>1009</v>
      </c>
      <c r="E1010" s="45" t="s">
        <v>1173</v>
      </c>
      <c r="F1010" s="46" t="s">
        <v>2921</v>
      </c>
    </row>
    <row r="1011" spans="1:6" ht="17">
      <c r="A1011" s="15">
        <f t="shared" ca="1" si="43"/>
        <v>1165</v>
      </c>
      <c r="B1011" s="16">
        <f t="shared" ca="1" si="44"/>
        <v>0.38603887275614612</v>
      </c>
      <c r="C1011" s="17">
        <f>IF(AND(問題解答データベース!D1011&gt;=小テスト!$C$6,D1011&lt;=小テスト!$E$6),1,0)</f>
        <v>1</v>
      </c>
      <c r="D1011" s="44">
        <f t="shared" si="45"/>
        <v>1010</v>
      </c>
      <c r="E1011" s="45" t="s">
        <v>1174</v>
      </c>
      <c r="F1011" s="46" t="s">
        <v>2922</v>
      </c>
    </row>
    <row r="1012" spans="1:6" ht="17">
      <c r="A1012" s="15">
        <f t="shared" ca="1" si="43"/>
        <v>1557</v>
      </c>
      <c r="B1012" s="16">
        <f t="shared" ca="1" si="44"/>
        <v>0.17412468877748544</v>
      </c>
      <c r="C1012" s="17">
        <f>IF(AND(問題解答データベース!D1012&gt;=小テスト!$C$6,D1012&lt;=小テスト!$E$6),1,0)</f>
        <v>1</v>
      </c>
      <c r="D1012" s="44">
        <f t="shared" si="45"/>
        <v>1011</v>
      </c>
      <c r="E1012" s="45" t="s">
        <v>1175</v>
      </c>
      <c r="F1012" s="46" t="s">
        <v>2923</v>
      </c>
    </row>
    <row r="1013" spans="1:6" ht="17">
      <c r="A1013" s="15">
        <f t="shared" ca="1" si="43"/>
        <v>1061</v>
      </c>
      <c r="B1013" s="16">
        <f t="shared" ca="1" si="44"/>
        <v>0.44990490129541638</v>
      </c>
      <c r="C1013" s="17">
        <f>IF(AND(問題解答データベース!D1013&gt;=小テスト!$C$6,D1013&lt;=小テスト!$E$6),1,0)</f>
        <v>1</v>
      </c>
      <c r="D1013" s="44">
        <f t="shared" si="45"/>
        <v>1012</v>
      </c>
      <c r="E1013" s="45" t="s">
        <v>1176</v>
      </c>
      <c r="F1013" s="46" t="s">
        <v>2924</v>
      </c>
    </row>
    <row r="1014" spans="1:6" ht="17">
      <c r="A1014" s="15">
        <f t="shared" ca="1" si="43"/>
        <v>362</v>
      </c>
      <c r="B1014" s="16">
        <f t="shared" ca="1" si="44"/>
        <v>0.80695163037667861</v>
      </c>
      <c r="C1014" s="17">
        <f>IF(AND(問題解答データベース!D1014&gt;=小テスト!$C$6,D1014&lt;=小テスト!$E$6),1,0)</f>
        <v>1</v>
      </c>
      <c r="D1014" s="44">
        <f t="shared" si="45"/>
        <v>1013</v>
      </c>
      <c r="E1014" s="45" t="s">
        <v>1177</v>
      </c>
      <c r="F1014" s="46" t="s">
        <v>2925</v>
      </c>
    </row>
    <row r="1015" spans="1:6" ht="17">
      <c r="A1015" s="15">
        <f t="shared" ca="1" si="43"/>
        <v>834</v>
      </c>
      <c r="B1015" s="16">
        <f t="shared" ca="1" si="44"/>
        <v>0.55539138924850107</v>
      </c>
      <c r="C1015" s="17">
        <f>IF(AND(問題解答データベース!D1015&gt;=小テスト!$C$6,D1015&lt;=小テスト!$E$6),1,0)</f>
        <v>1</v>
      </c>
      <c r="D1015" s="44">
        <f t="shared" si="45"/>
        <v>1014</v>
      </c>
      <c r="E1015" s="45" t="s">
        <v>1178</v>
      </c>
      <c r="F1015" s="46" t="s">
        <v>2926</v>
      </c>
    </row>
    <row r="1016" spans="1:6" ht="17">
      <c r="A1016" s="15">
        <f t="shared" ca="1" si="43"/>
        <v>1804</v>
      </c>
      <c r="B1016" s="16">
        <f t="shared" ca="1" si="44"/>
        <v>4.5945506733991892E-2</v>
      </c>
      <c r="C1016" s="17">
        <f>IF(AND(問題解答データベース!D1016&gt;=小テスト!$C$6,D1016&lt;=小テスト!$E$6),1,0)</f>
        <v>1</v>
      </c>
      <c r="D1016" s="44">
        <f t="shared" si="45"/>
        <v>1015</v>
      </c>
      <c r="E1016" s="45" t="s">
        <v>1179</v>
      </c>
      <c r="F1016" s="46" t="s">
        <v>2927</v>
      </c>
    </row>
    <row r="1017" spans="1:6" ht="17">
      <c r="A1017" s="15">
        <f t="shared" ca="1" si="43"/>
        <v>847</v>
      </c>
      <c r="B1017" s="16">
        <f t="shared" ca="1" si="44"/>
        <v>0.54976936846317759</v>
      </c>
      <c r="C1017" s="17">
        <f>IF(AND(問題解答データベース!D1017&gt;=小テスト!$C$6,D1017&lt;=小テスト!$E$6),1,0)</f>
        <v>1</v>
      </c>
      <c r="D1017" s="44">
        <f t="shared" si="45"/>
        <v>1016</v>
      </c>
      <c r="E1017" s="45" t="s">
        <v>1180</v>
      </c>
      <c r="F1017" s="46" t="s">
        <v>2928</v>
      </c>
    </row>
    <row r="1018" spans="1:6" ht="17">
      <c r="A1018" s="15">
        <f t="shared" ca="1" si="43"/>
        <v>936</v>
      </c>
      <c r="B1018" s="16">
        <f t="shared" ca="1" si="44"/>
        <v>0.50675694518663572</v>
      </c>
      <c r="C1018" s="17">
        <f>IF(AND(問題解答データベース!D1018&gt;=小テスト!$C$6,D1018&lt;=小テスト!$E$6),1,0)</f>
        <v>1</v>
      </c>
      <c r="D1018" s="44">
        <f t="shared" si="45"/>
        <v>1017</v>
      </c>
      <c r="E1018" s="45" t="s">
        <v>1181</v>
      </c>
      <c r="F1018" s="46" t="s">
        <v>2929</v>
      </c>
    </row>
    <row r="1019" spans="1:6" ht="17">
      <c r="A1019" s="15">
        <f t="shared" ca="1" si="43"/>
        <v>575</v>
      </c>
      <c r="B1019" s="16">
        <f t="shared" ca="1" si="44"/>
        <v>0.70086655182096225</v>
      </c>
      <c r="C1019" s="17">
        <f>IF(AND(問題解答データベース!D1019&gt;=小テスト!$C$6,D1019&lt;=小テスト!$E$6),1,0)</f>
        <v>1</v>
      </c>
      <c r="D1019" s="44">
        <f t="shared" si="45"/>
        <v>1018</v>
      </c>
      <c r="E1019" s="45" t="s">
        <v>1182</v>
      </c>
      <c r="F1019" s="46" t="s">
        <v>2930</v>
      </c>
    </row>
    <row r="1020" spans="1:6" ht="17">
      <c r="A1020" s="15">
        <f t="shared" ca="1" si="43"/>
        <v>1414</v>
      </c>
      <c r="B1020" s="16">
        <f t="shared" ca="1" si="44"/>
        <v>0.25856477280283963</v>
      </c>
      <c r="C1020" s="17">
        <f>IF(AND(問題解答データベース!D1020&gt;=小テスト!$C$6,D1020&lt;=小テスト!$E$6),1,0)</f>
        <v>1</v>
      </c>
      <c r="D1020" s="44">
        <f t="shared" si="45"/>
        <v>1019</v>
      </c>
      <c r="E1020" s="45" t="s">
        <v>1183</v>
      </c>
      <c r="F1020" s="46" t="s">
        <v>2931</v>
      </c>
    </row>
    <row r="1021" spans="1:6" ht="17">
      <c r="A1021" s="15">
        <f t="shared" ca="1" si="43"/>
        <v>1060</v>
      </c>
      <c r="B1021" s="16">
        <f t="shared" ca="1" si="44"/>
        <v>0.45021274894966223</v>
      </c>
      <c r="C1021" s="17">
        <f>IF(AND(問題解答データベース!D1021&gt;=小テスト!$C$6,D1021&lt;=小テスト!$E$6),1,0)</f>
        <v>1</v>
      </c>
      <c r="D1021" s="44">
        <f t="shared" si="45"/>
        <v>1020</v>
      </c>
      <c r="E1021" s="45" t="s">
        <v>1184</v>
      </c>
      <c r="F1021" s="46" t="s">
        <v>2932</v>
      </c>
    </row>
    <row r="1022" spans="1:6" ht="17">
      <c r="A1022" s="15">
        <f t="shared" ca="1" si="43"/>
        <v>603</v>
      </c>
      <c r="B1022" s="16">
        <f t="shared" ca="1" si="44"/>
        <v>0.68152837597239746</v>
      </c>
      <c r="C1022" s="17">
        <f>IF(AND(問題解答データベース!D1022&gt;=小テスト!$C$6,D1022&lt;=小テスト!$E$6),1,0)</f>
        <v>1</v>
      </c>
      <c r="D1022" s="44">
        <f t="shared" si="45"/>
        <v>1021</v>
      </c>
      <c r="E1022" s="45" t="s">
        <v>1185</v>
      </c>
      <c r="F1022" s="46" t="s">
        <v>2933</v>
      </c>
    </row>
    <row r="1023" spans="1:6" ht="17">
      <c r="A1023" s="15">
        <f t="shared" ca="1" si="43"/>
        <v>417</v>
      </c>
      <c r="B1023" s="16">
        <f t="shared" ca="1" si="44"/>
        <v>0.77891611771548852</v>
      </c>
      <c r="C1023" s="17">
        <f>IF(AND(問題解答データベース!D1023&gt;=小テスト!$C$6,D1023&lt;=小テスト!$E$6),1,0)</f>
        <v>1</v>
      </c>
      <c r="D1023" s="44">
        <f t="shared" si="45"/>
        <v>1022</v>
      </c>
      <c r="E1023" s="45" t="s">
        <v>1186</v>
      </c>
      <c r="F1023" s="46" t="s">
        <v>2934</v>
      </c>
    </row>
    <row r="1024" spans="1:6" ht="17">
      <c r="A1024" s="15">
        <f t="shared" ca="1" si="43"/>
        <v>900</v>
      </c>
      <c r="B1024" s="16">
        <f t="shared" ca="1" si="44"/>
        <v>0.52261952336868744</v>
      </c>
      <c r="C1024" s="17">
        <f>IF(AND(問題解答データベース!D1024&gt;=小テスト!$C$6,D1024&lt;=小テスト!$E$6),1,0)</f>
        <v>1</v>
      </c>
      <c r="D1024" s="44">
        <f t="shared" si="45"/>
        <v>1023</v>
      </c>
      <c r="E1024" s="45" t="s">
        <v>1187</v>
      </c>
      <c r="F1024" s="46" t="s">
        <v>2935</v>
      </c>
    </row>
    <row r="1025" spans="1:6" ht="17">
      <c r="A1025" s="15">
        <f t="shared" ca="1" si="43"/>
        <v>1249</v>
      </c>
      <c r="B1025" s="16">
        <f t="shared" ca="1" si="44"/>
        <v>0.35138304005729448</v>
      </c>
      <c r="C1025" s="17">
        <f>IF(AND(問題解答データベース!D1025&gt;=小テスト!$C$6,D1025&lt;=小テスト!$E$6),1,0)</f>
        <v>1</v>
      </c>
      <c r="D1025" s="44">
        <f t="shared" si="45"/>
        <v>1024</v>
      </c>
      <c r="E1025" s="45" t="s">
        <v>1188</v>
      </c>
      <c r="F1025" s="46" t="s">
        <v>2936</v>
      </c>
    </row>
    <row r="1026" spans="1:6" ht="17">
      <c r="A1026" s="15">
        <f t="shared" ca="1" si="43"/>
        <v>1539</v>
      </c>
      <c r="B1026" s="16">
        <f t="shared" ca="1" si="44"/>
        <v>0.18450579106436926</v>
      </c>
      <c r="C1026" s="17">
        <f>IF(AND(問題解答データベース!D1026&gt;=小テスト!$C$6,D1026&lt;=小テスト!$E$6),1,0)</f>
        <v>1</v>
      </c>
      <c r="D1026" s="44">
        <f t="shared" si="45"/>
        <v>1025</v>
      </c>
      <c r="E1026" s="45" t="s">
        <v>1189</v>
      </c>
      <c r="F1026" s="46" t="s">
        <v>2937</v>
      </c>
    </row>
    <row r="1027" spans="1:6" ht="17">
      <c r="A1027" s="15">
        <f t="shared" ref="A1027:A1090" ca="1" si="46">RANK(B1027,$B$2:$B$1901,0)</f>
        <v>330</v>
      </c>
      <c r="B1027" s="16">
        <f t="shared" ca="1" si="44"/>
        <v>0.82230419697589396</v>
      </c>
      <c r="C1027" s="17">
        <f>IF(AND(問題解答データベース!D1027&gt;=小テスト!$C$6,D1027&lt;=小テスト!$E$6),1,0)</f>
        <v>1</v>
      </c>
      <c r="D1027" s="44">
        <f t="shared" si="45"/>
        <v>1026</v>
      </c>
      <c r="E1027" s="45" t="s">
        <v>1190</v>
      </c>
      <c r="F1027" s="46" t="s">
        <v>2938</v>
      </c>
    </row>
    <row r="1028" spans="1:6" ht="17">
      <c r="A1028" s="15">
        <f t="shared" ca="1" si="46"/>
        <v>1365</v>
      </c>
      <c r="B1028" s="16">
        <f t="shared" ca="1" si="44"/>
        <v>0.28556391229518208</v>
      </c>
      <c r="C1028" s="17">
        <f>IF(AND(問題解答データベース!D1028&gt;=小テスト!$C$6,D1028&lt;=小テスト!$E$6),1,0)</f>
        <v>1</v>
      </c>
      <c r="D1028" s="44">
        <f t="shared" si="45"/>
        <v>1027</v>
      </c>
      <c r="E1028" s="45" t="s">
        <v>1191</v>
      </c>
      <c r="F1028" s="46" t="s">
        <v>2939</v>
      </c>
    </row>
    <row r="1029" spans="1:6" ht="17">
      <c r="A1029" s="15">
        <f t="shared" ca="1" si="46"/>
        <v>1430</v>
      </c>
      <c r="B1029" s="16">
        <f t="shared" ca="1" si="44"/>
        <v>0.24752825904297737</v>
      </c>
      <c r="C1029" s="17">
        <f>IF(AND(問題解答データベース!D1029&gt;=小テスト!$C$6,D1029&lt;=小テスト!$E$6),1,0)</f>
        <v>1</v>
      </c>
      <c r="D1029" s="44">
        <f t="shared" si="45"/>
        <v>1028</v>
      </c>
      <c r="E1029" s="45" t="s">
        <v>1192</v>
      </c>
      <c r="F1029" s="46" t="s">
        <v>2940</v>
      </c>
    </row>
    <row r="1030" spans="1:6" ht="17">
      <c r="A1030" s="15">
        <f t="shared" ca="1" si="46"/>
        <v>430</v>
      </c>
      <c r="B1030" s="16">
        <f t="shared" ca="1" si="44"/>
        <v>0.77157384018490727</v>
      </c>
      <c r="C1030" s="17">
        <f>IF(AND(問題解答データベース!D1030&gt;=小テスト!$C$6,D1030&lt;=小テスト!$E$6),1,0)</f>
        <v>1</v>
      </c>
      <c r="D1030" s="44">
        <f t="shared" si="45"/>
        <v>1029</v>
      </c>
      <c r="E1030" s="45" t="s">
        <v>1193</v>
      </c>
      <c r="F1030" s="46" t="s">
        <v>2941</v>
      </c>
    </row>
    <row r="1031" spans="1:6" ht="17">
      <c r="A1031" s="15">
        <f t="shared" ca="1" si="46"/>
        <v>50</v>
      </c>
      <c r="B1031" s="16">
        <f t="shared" ca="1" si="44"/>
        <v>0.97193639600777071</v>
      </c>
      <c r="C1031" s="17">
        <f>IF(AND(問題解答データベース!D1031&gt;=小テスト!$C$6,D1031&lt;=小テスト!$E$6),1,0)</f>
        <v>1</v>
      </c>
      <c r="D1031" s="44">
        <f t="shared" si="45"/>
        <v>1030</v>
      </c>
      <c r="E1031" s="45" t="s">
        <v>1194</v>
      </c>
      <c r="F1031" s="46" t="s">
        <v>2942</v>
      </c>
    </row>
    <row r="1032" spans="1:6" ht="17">
      <c r="A1032" s="15">
        <f t="shared" ca="1" si="46"/>
        <v>893</v>
      </c>
      <c r="B1032" s="16">
        <f t="shared" ca="1" si="44"/>
        <v>0.52685906693714835</v>
      </c>
      <c r="C1032" s="17">
        <f>IF(AND(問題解答データベース!D1032&gt;=小テスト!$C$6,D1032&lt;=小テスト!$E$6),1,0)</f>
        <v>1</v>
      </c>
      <c r="D1032" s="44">
        <f t="shared" si="45"/>
        <v>1031</v>
      </c>
      <c r="E1032" s="45" t="s">
        <v>1195</v>
      </c>
      <c r="F1032" s="46" t="s">
        <v>2943</v>
      </c>
    </row>
    <row r="1033" spans="1:6" ht="17">
      <c r="A1033" s="15">
        <f t="shared" ca="1" si="46"/>
        <v>612</v>
      </c>
      <c r="B1033" s="16">
        <f t="shared" ca="1" si="44"/>
        <v>0.67641369513160587</v>
      </c>
      <c r="C1033" s="17">
        <f>IF(AND(問題解答データベース!D1033&gt;=小テスト!$C$6,D1033&lt;=小テスト!$E$6),1,0)</f>
        <v>1</v>
      </c>
      <c r="D1033" s="44">
        <f t="shared" si="45"/>
        <v>1032</v>
      </c>
      <c r="E1033" s="45" t="s">
        <v>1196</v>
      </c>
      <c r="F1033" s="46" t="s">
        <v>2944</v>
      </c>
    </row>
    <row r="1034" spans="1:6" ht="17">
      <c r="A1034" s="15">
        <f t="shared" ca="1" si="46"/>
        <v>1707</v>
      </c>
      <c r="B1034" s="16">
        <f t="shared" ref="B1034:B1097" ca="1" si="47">IF(C1034=1,RAND(),0)</f>
        <v>9.7406589887208184E-2</v>
      </c>
      <c r="C1034" s="17">
        <f>IF(AND(問題解答データベース!D1034&gt;=小テスト!$C$6,D1034&lt;=小テスト!$E$6),1,0)</f>
        <v>1</v>
      </c>
      <c r="D1034" s="44">
        <f t="shared" si="45"/>
        <v>1033</v>
      </c>
      <c r="E1034" s="45" t="s">
        <v>1197</v>
      </c>
      <c r="F1034" s="46" t="s">
        <v>2945</v>
      </c>
    </row>
    <row r="1035" spans="1:6" ht="17">
      <c r="A1035" s="15">
        <f t="shared" ca="1" si="46"/>
        <v>1785</v>
      </c>
      <c r="B1035" s="16">
        <f t="shared" ca="1" si="47"/>
        <v>5.5713608768749645E-2</v>
      </c>
      <c r="C1035" s="17">
        <f>IF(AND(問題解答データベース!D1035&gt;=小テスト!$C$6,D1035&lt;=小テスト!$E$6),1,0)</f>
        <v>1</v>
      </c>
      <c r="D1035" s="44">
        <f t="shared" si="45"/>
        <v>1034</v>
      </c>
      <c r="E1035" s="45" t="s">
        <v>1198</v>
      </c>
      <c r="F1035" s="46" t="s">
        <v>2946</v>
      </c>
    </row>
    <row r="1036" spans="1:6" ht="17">
      <c r="A1036" s="15">
        <f t="shared" ca="1" si="46"/>
        <v>193</v>
      </c>
      <c r="B1036" s="16">
        <f t="shared" ca="1" si="47"/>
        <v>0.90686276725933468</v>
      </c>
      <c r="C1036" s="17">
        <f>IF(AND(問題解答データベース!D1036&gt;=小テスト!$C$6,D1036&lt;=小テスト!$E$6),1,0)</f>
        <v>1</v>
      </c>
      <c r="D1036" s="44">
        <f t="shared" si="45"/>
        <v>1035</v>
      </c>
      <c r="E1036" s="45" t="s">
        <v>1199</v>
      </c>
      <c r="F1036" s="46" t="s">
        <v>2947</v>
      </c>
    </row>
    <row r="1037" spans="1:6" ht="17">
      <c r="A1037" s="15">
        <f t="shared" ca="1" si="46"/>
        <v>595</v>
      </c>
      <c r="B1037" s="16">
        <f t="shared" ca="1" si="47"/>
        <v>0.68597618651164571</v>
      </c>
      <c r="C1037" s="17">
        <f>IF(AND(問題解答データベース!D1037&gt;=小テスト!$C$6,D1037&lt;=小テスト!$E$6),1,0)</f>
        <v>1</v>
      </c>
      <c r="D1037" s="44">
        <f t="shared" ref="D1037:D1050" si="48">D1036+1</f>
        <v>1036</v>
      </c>
      <c r="E1037" s="45" t="s">
        <v>1200</v>
      </c>
      <c r="F1037" s="46" t="s">
        <v>2948</v>
      </c>
    </row>
    <row r="1038" spans="1:6" ht="17">
      <c r="A1038" s="15">
        <f t="shared" ca="1" si="46"/>
        <v>1320</v>
      </c>
      <c r="B1038" s="16">
        <f t="shared" ca="1" si="47"/>
        <v>0.30761594932314729</v>
      </c>
      <c r="C1038" s="17">
        <f>IF(AND(問題解答データベース!D1038&gt;=小テスト!$C$6,D1038&lt;=小テスト!$E$6),1,0)</f>
        <v>1</v>
      </c>
      <c r="D1038" s="44">
        <f t="shared" si="48"/>
        <v>1037</v>
      </c>
      <c r="E1038" s="45" t="s">
        <v>1201</v>
      </c>
      <c r="F1038" s="46" t="s">
        <v>2949</v>
      </c>
    </row>
    <row r="1039" spans="1:6" ht="17">
      <c r="A1039" s="15">
        <f t="shared" ca="1" si="46"/>
        <v>1180</v>
      </c>
      <c r="B1039" s="16">
        <f t="shared" ca="1" si="47"/>
        <v>0.37779697290801739</v>
      </c>
      <c r="C1039" s="17">
        <f>IF(AND(問題解答データベース!D1039&gt;=小テスト!$C$6,D1039&lt;=小テスト!$E$6),1,0)</f>
        <v>1</v>
      </c>
      <c r="D1039" s="44">
        <f t="shared" si="48"/>
        <v>1038</v>
      </c>
      <c r="E1039" s="45" t="s">
        <v>1202</v>
      </c>
      <c r="F1039" s="46" t="s">
        <v>2950</v>
      </c>
    </row>
    <row r="1040" spans="1:6" ht="17">
      <c r="A1040" s="15">
        <f t="shared" ca="1" si="46"/>
        <v>448</v>
      </c>
      <c r="B1040" s="16">
        <f t="shared" ca="1" si="47"/>
        <v>0.76571315999274614</v>
      </c>
      <c r="C1040" s="17">
        <f>IF(AND(問題解答データベース!D1040&gt;=小テスト!$C$6,D1040&lt;=小テスト!$E$6),1,0)</f>
        <v>1</v>
      </c>
      <c r="D1040" s="44">
        <f t="shared" si="48"/>
        <v>1039</v>
      </c>
      <c r="E1040" s="45" t="s">
        <v>1203</v>
      </c>
      <c r="F1040" s="46" t="s">
        <v>2951</v>
      </c>
    </row>
    <row r="1041" spans="1:6" ht="17">
      <c r="A1041" s="15">
        <f t="shared" ca="1" si="46"/>
        <v>933</v>
      </c>
      <c r="B1041" s="16">
        <f t="shared" ca="1" si="47"/>
        <v>0.50931323412048346</v>
      </c>
      <c r="C1041" s="17">
        <f>IF(AND(問題解答データベース!D1041&gt;=小テスト!$C$6,D1041&lt;=小テスト!$E$6),1,0)</f>
        <v>1</v>
      </c>
      <c r="D1041" s="44">
        <f t="shared" si="48"/>
        <v>1040</v>
      </c>
      <c r="E1041" s="45" t="s">
        <v>1204</v>
      </c>
      <c r="F1041" s="46" t="s">
        <v>2952</v>
      </c>
    </row>
    <row r="1042" spans="1:6" ht="17">
      <c r="A1042" s="15">
        <f t="shared" ca="1" si="46"/>
        <v>757</v>
      </c>
      <c r="B1042" s="16">
        <f t="shared" ca="1" si="47"/>
        <v>0.59893984034910608</v>
      </c>
      <c r="C1042" s="17">
        <f>IF(AND(問題解答データベース!D1042&gt;=小テスト!$C$6,D1042&lt;=小テスト!$E$6),1,0)</f>
        <v>1</v>
      </c>
      <c r="D1042" s="44">
        <f t="shared" si="48"/>
        <v>1041</v>
      </c>
      <c r="E1042" s="45" t="s">
        <v>1205</v>
      </c>
      <c r="F1042" s="46" t="s">
        <v>2953</v>
      </c>
    </row>
    <row r="1043" spans="1:6" ht="17">
      <c r="A1043" s="15">
        <f t="shared" ca="1" si="46"/>
        <v>115</v>
      </c>
      <c r="B1043" s="16">
        <f t="shared" ca="1" si="47"/>
        <v>0.94476610711144904</v>
      </c>
      <c r="C1043" s="17">
        <f>IF(AND(問題解答データベース!D1043&gt;=小テスト!$C$6,D1043&lt;=小テスト!$E$6),1,0)</f>
        <v>1</v>
      </c>
      <c r="D1043" s="44">
        <f t="shared" si="48"/>
        <v>1042</v>
      </c>
      <c r="E1043" s="45" t="s">
        <v>1206</v>
      </c>
      <c r="F1043" s="46" t="s">
        <v>2954</v>
      </c>
    </row>
    <row r="1044" spans="1:6" ht="17">
      <c r="A1044" s="15">
        <f t="shared" ca="1" si="46"/>
        <v>1330</v>
      </c>
      <c r="B1044" s="16">
        <f t="shared" ca="1" si="47"/>
        <v>0.30308871680024041</v>
      </c>
      <c r="C1044" s="17">
        <f>IF(AND(問題解答データベース!D1044&gt;=小テスト!$C$6,D1044&lt;=小テスト!$E$6),1,0)</f>
        <v>1</v>
      </c>
      <c r="D1044" s="44">
        <f t="shared" si="48"/>
        <v>1043</v>
      </c>
      <c r="E1044" s="45" t="s">
        <v>1207</v>
      </c>
      <c r="F1044" s="46" t="s">
        <v>2955</v>
      </c>
    </row>
    <row r="1045" spans="1:6" ht="17">
      <c r="A1045" s="15">
        <f t="shared" ca="1" si="46"/>
        <v>327</v>
      </c>
      <c r="B1045" s="16">
        <f t="shared" ca="1" si="47"/>
        <v>0.8244017581531089</v>
      </c>
      <c r="C1045" s="17">
        <f>IF(AND(問題解答データベース!D1045&gt;=小テスト!$C$6,D1045&lt;=小テスト!$E$6),1,0)</f>
        <v>1</v>
      </c>
      <c r="D1045" s="44">
        <f t="shared" si="48"/>
        <v>1044</v>
      </c>
      <c r="E1045" s="45" t="s">
        <v>1208</v>
      </c>
      <c r="F1045" s="46" t="s">
        <v>2956</v>
      </c>
    </row>
    <row r="1046" spans="1:6" ht="17">
      <c r="A1046" s="15">
        <f t="shared" ca="1" si="46"/>
        <v>1394</v>
      </c>
      <c r="B1046" s="16">
        <f t="shared" ca="1" si="47"/>
        <v>0.26877693301221028</v>
      </c>
      <c r="C1046" s="17">
        <f>IF(AND(問題解答データベース!D1046&gt;=小テスト!$C$6,D1046&lt;=小テスト!$E$6),1,0)</f>
        <v>1</v>
      </c>
      <c r="D1046" s="44">
        <f t="shared" si="48"/>
        <v>1045</v>
      </c>
      <c r="E1046" s="45" t="s">
        <v>1209</v>
      </c>
      <c r="F1046" s="46" t="s">
        <v>2957</v>
      </c>
    </row>
    <row r="1047" spans="1:6" ht="17">
      <c r="A1047" s="15">
        <f t="shared" ca="1" si="46"/>
        <v>1300</v>
      </c>
      <c r="B1047" s="16">
        <f t="shared" ca="1" si="47"/>
        <v>0.32226980671796301</v>
      </c>
      <c r="C1047" s="17">
        <f>IF(AND(問題解答データベース!D1047&gt;=小テスト!$C$6,D1047&lt;=小テスト!$E$6),1,0)</f>
        <v>1</v>
      </c>
      <c r="D1047" s="44">
        <f t="shared" si="48"/>
        <v>1046</v>
      </c>
      <c r="E1047" s="45" t="s">
        <v>1210</v>
      </c>
      <c r="F1047" s="46" t="s">
        <v>2958</v>
      </c>
    </row>
    <row r="1048" spans="1:6" ht="17">
      <c r="A1048" s="15">
        <f t="shared" ca="1" si="46"/>
        <v>1267</v>
      </c>
      <c r="B1048" s="16">
        <f t="shared" ca="1" si="47"/>
        <v>0.34167868153976566</v>
      </c>
      <c r="C1048" s="17">
        <f>IF(AND(問題解答データベース!D1048&gt;=小テスト!$C$6,D1048&lt;=小テスト!$E$6),1,0)</f>
        <v>1</v>
      </c>
      <c r="D1048" s="44">
        <f t="shared" si="48"/>
        <v>1047</v>
      </c>
      <c r="E1048" s="45" t="s">
        <v>1211</v>
      </c>
      <c r="F1048" s="46" t="s">
        <v>2959</v>
      </c>
    </row>
    <row r="1049" spans="1:6" ht="17">
      <c r="A1049" s="15">
        <f t="shared" ca="1" si="46"/>
        <v>623</v>
      </c>
      <c r="B1049" s="16">
        <f t="shared" ca="1" si="47"/>
        <v>0.67271979592853837</v>
      </c>
      <c r="C1049" s="17">
        <f>IF(AND(問題解答データベース!D1049&gt;=小テスト!$C$6,D1049&lt;=小テスト!$E$6),1,0)</f>
        <v>1</v>
      </c>
      <c r="D1049" s="44">
        <f t="shared" si="48"/>
        <v>1048</v>
      </c>
      <c r="E1049" s="45" t="s">
        <v>1212</v>
      </c>
      <c r="F1049" s="46" t="s">
        <v>2960</v>
      </c>
    </row>
    <row r="1050" spans="1:6" ht="17">
      <c r="A1050" s="15">
        <f t="shared" ca="1" si="46"/>
        <v>259</v>
      </c>
      <c r="B1050" s="16">
        <f t="shared" ca="1" si="47"/>
        <v>0.86603668792402244</v>
      </c>
      <c r="C1050" s="17">
        <f>IF(AND(問題解答データベース!D1050&gt;=小テスト!$C$6,D1050&lt;=小テスト!$E$6),1,0)</f>
        <v>1</v>
      </c>
      <c r="D1050" s="44">
        <f t="shared" si="48"/>
        <v>1049</v>
      </c>
      <c r="E1050" s="45" t="s">
        <v>1213</v>
      </c>
      <c r="F1050" s="46" t="s">
        <v>2961</v>
      </c>
    </row>
    <row r="1051" spans="1:6" ht="17">
      <c r="A1051" s="15">
        <f t="shared" ca="1" si="46"/>
        <v>1479</v>
      </c>
      <c r="B1051" s="16">
        <f t="shared" ca="1" si="47"/>
        <v>0.21756391266022279</v>
      </c>
      <c r="C1051" s="17">
        <f>IF(AND(問題解答データベース!D1051&gt;=小テスト!$C$6,D1051&lt;=小テスト!$E$6),1,0)</f>
        <v>1</v>
      </c>
      <c r="D1051" s="44">
        <f>D1050+1</f>
        <v>1050</v>
      </c>
      <c r="E1051" s="45" t="s">
        <v>1214</v>
      </c>
      <c r="F1051" s="46" t="s">
        <v>2962</v>
      </c>
    </row>
    <row r="1052" spans="1:6" ht="17">
      <c r="A1052" s="15">
        <f t="shared" ca="1" si="46"/>
        <v>883</v>
      </c>
      <c r="B1052" s="16">
        <f t="shared" ca="1" si="47"/>
        <v>0.53172444446156708</v>
      </c>
      <c r="C1052" s="17">
        <f>IF(AND(問題解答データベース!D1052&gt;=小テスト!$C$6,D1052&lt;=小テスト!$E$6),1,0)</f>
        <v>1</v>
      </c>
      <c r="D1052" s="44">
        <f t="shared" ref="D1052:D1115" si="49">D1051+1</f>
        <v>1051</v>
      </c>
      <c r="E1052" s="45" t="s">
        <v>1215</v>
      </c>
      <c r="F1052" s="46" t="s">
        <v>2963</v>
      </c>
    </row>
    <row r="1053" spans="1:6" ht="17">
      <c r="A1053" s="15">
        <f t="shared" ca="1" si="46"/>
        <v>1665</v>
      </c>
      <c r="B1053" s="16">
        <f t="shared" ca="1" si="47"/>
        <v>0.11950090749492492</v>
      </c>
      <c r="C1053" s="17">
        <f>IF(AND(問題解答データベース!D1053&gt;=小テスト!$C$6,D1053&lt;=小テスト!$E$6),1,0)</f>
        <v>1</v>
      </c>
      <c r="D1053" s="44">
        <f t="shared" si="49"/>
        <v>1052</v>
      </c>
      <c r="E1053" s="45" t="s">
        <v>1216</v>
      </c>
      <c r="F1053" s="46" t="s">
        <v>2964</v>
      </c>
    </row>
    <row r="1054" spans="1:6" ht="17">
      <c r="A1054" s="15">
        <f t="shared" ca="1" si="46"/>
        <v>1639</v>
      </c>
      <c r="B1054" s="16">
        <f t="shared" ca="1" si="47"/>
        <v>0.13326762199736086</v>
      </c>
      <c r="C1054" s="17">
        <f>IF(AND(問題解答データベース!D1054&gt;=小テスト!$C$6,D1054&lt;=小テスト!$E$6),1,0)</f>
        <v>1</v>
      </c>
      <c r="D1054" s="44">
        <f t="shared" si="49"/>
        <v>1053</v>
      </c>
      <c r="E1054" s="45" t="s">
        <v>1217</v>
      </c>
      <c r="F1054" s="46" t="s">
        <v>2965</v>
      </c>
    </row>
    <row r="1055" spans="1:6" ht="17">
      <c r="A1055" s="15">
        <f t="shared" ca="1" si="46"/>
        <v>277</v>
      </c>
      <c r="B1055" s="16">
        <f t="shared" ca="1" si="47"/>
        <v>0.85536607380836416</v>
      </c>
      <c r="C1055" s="17">
        <f>IF(AND(問題解答データベース!D1055&gt;=小テスト!$C$6,D1055&lt;=小テスト!$E$6),1,0)</f>
        <v>1</v>
      </c>
      <c r="D1055" s="44">
        <f t="shared" si="49"/>
        <v>1054</v>
      </c>
      <c r="E1055" s="45" t="s">
        <v>1218</v>
      </c>
      <c r="F1055" s="46" t="s">
        <v>2966</v>
      </c>
    </row>
    <row r="1056" spans="1:6" ht="17">
      <c r="A1056" s="15">
        <f t="shared" ca="1" si="46"/>
        <v>170</v>
      </c>
      <c r="B1056" s="16">
        <f t="shared" ca="1" si="47"/>
        <v>0.91736870297948259</v>
      </c>
      <c r="C1056" s="17">
        <f>IF(AND(問題解答データベース!D1056&gt;=小テスト!$C$6,D1056&lt;=小テスト!$E$6),1,0)</f>
        <v>1</v>
      </c>
      <c r="D1056" s="44">
        <f t="shared" si="49"/>
        <v>1055</v>
      </c>
      <c r="E1056" s="45" t="s">
        <v>1219</v>
      </c>
      <c r="F1056" s="46" t="s">
        <v>2967</v>
      </c>
    </row>
    <row r="1057" spans="1:6" ht="17">
      <c r="A1057" s="15">
        <f t="shared" ca="1" si="46"/>
        <v>1626</v>
      </c>
      <c r="B1057" s="16">
        <f t="shared" ca="1" si="47"/>
        <v>0.14426795831570949</v>
      </c>
      <c r="C1057" s="17">
        <f>IF(AND(問題解答データベース!D1057&gt;=小テスト!$C$6,D1057&lt;=小テスト!$E$6),1,0)</f>
        <v>1</v>
      </c>
      <c r="D1057" s="44">
        <f t="shared" si="49"/>
        <v>1056</v>
      </c>
      <c r="E1057" s="45" t="s">
        <v>1220</v>
      </c>
      <c r="F1057" s="46" t="s">
        <v>2968</v>
      </c>
    </row>
    <row r="1058" spans="1:6" ht="17">
      <c r="A1058" s="15">
        <f t="shared" ca="1" si="46"/>
        <v>854</v>
      </c>
      <c r="B1058" s="16">
        <f t="shared" ca="1" si="47"/>
        <v>0.54322154316649229</v>
      </c>
      <c r="C1058" s="17">
        <f>IF(AND(問題解答データベース!D1058&gt;=小テスト!$C$6,D1058&lt;=小テスト!$E$6),1,0)</f>
        <v>1</v>
      </c>
      <c r="D1058" s="44">
        <f t="shared" si="49"/>
        <v>1057</v>
      </c>
      <c r="E1058" s="45" t="s">
        <v>1221</v>
      </c>
      <c r="F1058" s="46" t="s">
        <v>2969</v>
      </c>
    </row>
    <row r="1059" spans="1:6" ht="17">
      <c r="A1059" s="15">
        <f t="shared" ca="1" si="46"/>
        <v>67</v>
      </c>
      <c r="B1059" s="16">
        <f t="shared" ca="1" si="47"/>
        <v>0.96637496963243152</v>
      </c>
      <c r="C1059" s="17">
        <f>IF(AND(問題解答データベース!D1059&gt;=小テスト!$C$6,D1059&lt;=小テスト!$E$6),1,0)</f>
        <v>1</v>
      </c>
      <c r="D1059" s="44">
        <f t="shared" si="49"/>
        <v>1058</v>
      </c>
      <c r="E1059" s="45" t="s">
        <v>1222</v>
      </c>
      <c r="F1059" s="46" t="s">
        <v>2970</v>
      </c>
    </row>
    <row r="1060" spans="1:6" ht="17">
      <c r="A1060" s="15">
        <f t="shared" ca="1" si="46"/>
        <v>1488</v>
      </c>
      <c r="B1060" s="16">
        <f t="shared" ca="1" si="47"/>
        <v>0.20859366656813561</v>
      </c>
      <c r="C1060" s="17">
        <f>IF(AND(問題解答データベース!D1060&gt;=小テスト!$C$6,D1060&lt;=小テスト!$E$6),1,0)</f>
        <v>1</v>
      </c>
      <c r="D1060" s="44">
        <f t="shared" si="49"/>
        <v>1059</v>
      </c>
      <c r="E1060" s="45" t="s">
        <v>1223</v>
      </c>
      <c r="F1060" s="46" t="s">
        <v>2971</v>
      </c>
    </row>
    <row r="1061" spans="1:6" ht="17">
      <c r="A1061" s="15">
        <f t="shared" ca="1" si="46"/>
        <v>477</v>
      </c>
      <c r="B1061" s="16">
        <f t="shared" ca="1" si="47"/>
        <v>0.75429957148470272</v>
      </c>
      <c r="C1061" s="17">
        <f>IF(AND(問題解答データベース!D1061&gt;=小テスト!$C$6,D1061&lt;=小テスト!$E$6),1,0)</f>
        <v>1</v>
      </c>
      <c r="D1061" s="44">
        <f t="shared" si="49"/>
        <v>1060</v>
      </c>
      <c r="E1061" s="45" t="s">
        <v>1224</v>
      </c>
      <c r="F1061" s="46" t="s">
        <v>2972</v>
      </c>
    </row>
    <row r="1062" spans="1:6" ht="17">
      <c r="A1062" s="15">
        <f t="shared" ca="1" si="46"/>
        <v>1122</v>
      </c>
      <c r="B1062" s="16">
        <f t="shared" ca="1" si="47"/>
        <v>0.41420712487176259</v>
      </c>
      <c r="C1062" s="17">
        <f>IF(AND(問題解答データベース!D1062&gt;=小テスト!$C$6,D1062&lt;=小テスト!$E$6),1,0)</f>
        <v>1</v>
      </c>
      <c r="D1062" s="44">
        <f t="shared" si="49"/>
        <v>1061</v>
      </c>
      <c r="E1062" s="45" t="s">
        <v>1225</v>
      </c>
      <c r="F1062" s="46" t="s">
        <v>2973</v>
      </c>
    </row>
    <row r="1063" spans="1:6" ht="17">
      <c r="A1063" s="15">
        <f t="shared" ca="1" si="46"/>
        <v>506</v>
      </c>
      <c r="B1063" s="16">
        <f t="shared" ca="1" si="47"/>
        <v>0.73686912301943941</v>
      </c>
      <c r="C1063" s="17">
        <f>IF(AND(問題解答データベース!D1063&gt;=小テスト!$C$6,D1063&lt;=小テスト!$E$6),1,0)</f>
        <v>1</v>
      </c>
      <c r="D1063" s="44">
        <f t="shared" si="49"/>
        <v>1062</v>
      </c>
      <c r="E1063" s="45" t="s">
        <v>1226</v>
      </c>
      <c r="F1063" s="46" t="s">
        <v>2974</v>
      </c>
    </row>
    <row r="1064" spans="1:6" ht="17">
      <c r="A1064" s="15">
        <f t="shared" ca="1" si="46"/>
        <v>851</v>
      </c>
      <c r="B1064" s="16">
        <f t="shared" ca="1" si="47"/>
        <v>0.54844530415342507</v>
      </c>
      <c r="C1064" s="17">
        <f>IF(AND(問題解答データベース!D1064&gt;=小テスト!$C$6,D1064&lt;=小テスト!$E$6),1,0)</f>
        <v>1</v>
      </c>
      <c r="D1064" s="44">
        <f t="shared" si="49"/>
        <v>1063</v>
      </c>
      <c r="E1064" s="45" t="s">
        <v>1227</v>
      </c>
      <c r="F1064" s="46" t="s">
        <v>2975</v>
      </c>
    </row>
    <row r="1065" spans="1:6" ht="17">
      <c r="A1065" s="15">
        <f t="shared" ca="1" si="46"/>
        <v>1621</v>
      </c>
      <c r="B1065" s="16">
        <f t="shared" ca="1" si="47"/>
        <v>0.14589321560182744</v>
      </c>
      <c r="C1065" s="17">
        <f>IF(AND(問題解答データベース!D1065&gt;=小テスト!$C$6,D1065&lt;=小テスト!$E$6),1,0)</f>
        <v>1</v>
      </c>
      <c r="D1065" s="44">
        <f t="shared" si="49"/>
        <v>1064</v>
      </c>
      <c r="E1065" s="45" t="s">
        <v>1228</v>
      </c>
      <c r="F1065" s="46" t="s">
        <v>2976</v>
      </c>
    </row>
    <row r="1066" spans="1:6" ht="17">
      <c r="A1066" s="15">
        <f t="shared" ca="1" si="46"/>
        <v>829</v>
      </c>
      <c r="B1066" s="16">
        <f t="shared" ca="1" si="47"/>
        <v>0.55772036903010558</v>
      </c>
      <c r="C1066" s="17">
        <f>IF(AND(問題解答データベース!D1066&gt;=小テスト!$C$6,D1066&lt;=小テスト!$E$6),1,0)</f>
        <v>1</v>
      </c>
      <c r="D1066" s="44">
        <f t="shared" si="49"/>
        <v>1065</v>
      </c>
      <c r="E1066" s="45" t="s">
        <v>1229</v>
      </c>
      <c r="F1066" s="46" t="s">
        <v>2977</v>
      </c>
    </row>
    <row r="1067" spans="1:6" ht="17">
      <c r="A1067" s="15">
        <f t="shared" ca="1" si="46"/>
        <v>420</v>
      </c>
      <c r="B1067" s="16">
        <f t="shared" ca="1" si="47"/>
        <v>0.77617949194847424</v>
      </c>
      <c r="C1067" s="17">
        <f>IF(AND(問題解答データベース!D1067&gt;=小テスト!$C$6,D1067&lt;=小テスト!$E$6),1,0)</f>
        <v>1</v>
      </c>
      <c r="D1067" s="44">
        <f t="shared" si="49"/>
        <v>1066</v>
      </c>
      <c r="E1067" s="45" t="s">
        <v>1230</v>
      </c>
      <c r="F1067" s="46" t="s">
        <v>2978</v>
      </c>
    </row>
    <row r="1068" spans="1:6" ht="17">
      <c r="A1068" s="15">
        <f t="shared" ca="1" si="46"/>
        <v>1150</v>
      </c>
      <c r="B1068" s="16">
        <f t="shared" ca="1" si="47"/>
        <v>0.39643889581024905</v>
      </c>
      <c r="C1068" s="17">
        <f>IF(AND(問題解答データベース!D1068&gt;=小テスト!$C$6,D1068&lt;=小テスト!$E$6),1,0)</f>
        <v>1</v>
      </c>
      <c r="D1068" s="44">
        <f t="shared" si="49"/>
        <v>1067</v>
      </c>
      <c r="E1068" s="45" t="s">
        <v>1231</v>
      </c>
      <c r="F1068" s="46" t="s">
        <v>2979</v>
      </c>
    </row>
    <row r="1069" spans="1:6" ht="17">
      <c r="A1069" s="15">
        <f t="shared" ca="1" si="46"/>
        <v>1610</v>
      </c>
      <c r="B1069" s="16">
        <f t="shared" ca="1" si="47"/>
        <v>0.1526458921827365</v>
      </c>
      <c r="C1069" s="17">
        <f>IF(AND(問題解答データベース!D1069&gt;=小テスト!$C$6,D1069&lt;=小テスト!$E$6),1,0)</f>
        <v>1</v>
      </c>
      <c r="D1069" s="44">
        <f t="shared" si="49"/>
        <v>1068</v>
      </c>
      <c r="E1069" s="45" t="s">
        <v>1232</v>
      </c>
      <c r="F1069" s="46" t="s">
        <v>2980</v>
      </c>
    </row>
    <row r="1070" spans="1:6" ht="17">
      <c r="A1070" s="15">
        <f t="shared" ca="1" si="46"/>
        <v>367</v>
      </c>
      <c r="B1070" s="16">
        <f t="shared" ca="1" si="47"/>
        <v>0.80427924718403732</v>
      </c>
      <c r="C1070" s="17">
        <f>IF(AND(問題解答データベース!D1070&gt;=小テスト!$C$6,D1070&lt;=小テスト!$E$6),1,0)</f>
        <v>1</v>
      </c>
      <c r="D1070" s="44">
        <f t="shared" si="49"/>
        <v>1069</v>
      </c>
      <c r="E1070" s="45" t="s">
        <v>1233</v>
      </c>
      <c r="F1070" s="46" t="s">
        <v>2981</v>
      </c>
    </row>
    <row r="1071" spans="1:6" ht="17">
      <c r="A1071" s="15">
        <f t="shared" ca="1" si="46"/>
        <v>1162</v>
      </c>
      <c r="B1071" s="16">
        <f t="shared" ca="1" si="47"/>
        <v>0.38702430459684645</v>
      </c>
      <c r="C1071" s="17">
        <f>IF(AND(問題解答データベース!D1071&gt;=小テスト!$C$6,D1071&lt;=小テスト!$E$6),1,0)</f>
        <v>1</v>
      </c>
      <c r="D1071" s="44">
        <f t="shared" si="49"/>
        <v>1070</v>
      </c>
      <c r="E1071" s="45" t="s">
        <v>1234</v>
      </c>
      <c r="F1071" s="46" t="s">
        <v>2982</v>
      </c>
    </row>
    <row r="1072" spans="1:6" ht="17">
      <c r="A1072" s="15">
        <f t="shared" ca="1" si="46"/>
        <v>1263</v>
      </c>
      <c r="B1072" s="16">
        <f t="shared" ca="1" si="47"/>
        <v>0.34396234242524559</v>
      </c>
      <c r="C1072" s="17">
        <f>IF(AND(問題解答データベース!D1072&gt;=小テスト!$C$6,D1072&lt;=小テスト!$E$6),1,0)</f>
        <v>1</v>
      </c>
      <c r="D1072" s="44">
        <f t="shared" si="49"/>
        <v>1071</v>
      </c>
      <c r="E1072" s="45" t="s">
        <v>1235</v>
      </c>
      <c r="F1072" s="46" t="s">
        <v>2983</v>
      </c>
    </row>
    <row r="1073" spans="1:6" ht="17">
      <c r="A1073" s="15">
        <f t="shared" ca="1" si="46"/>
        <v>660</v>
      </c>
      <c r="B1073" s="16">
        <f t="shared" ca="1" si="47"/>
        <v>0.65413438165322313</v>
      </c>
      <c r="C1073" s="17">
        <f>IF(AND(問題解答データベース!D1073&gt;=小テスト!$C$6,D1073&lt;=小テスト!$E$6),1,0)</f>
        <v>1</v>
      </c>
      <c r="D1073" s="44">
        <f t="shared" si="49"/>
        <v>1072</v>
      </c>
      <c r="E1073" s="45" t="s">
        <v>1236</v>
      </c>
      <c r="F1073" s="46" t="s">
        <v>2984</v>
      </c>
    </row>
    <row r="1074" spans="1:6" ht="17">
      <c r="A1074" s="15">
        <f t="shared" ca="1" si="46"/>
        <v>1552</v>
      </c>
      <c r="B1074" s="16">
        <f t="shared" ca="1" si="47"/>
        <v>0.17806187630231485</v>
      </c>
      <c r="C1074" s="17">
        <f>IF(AND(問題解答データベース!D1074&gt;=小テスト!$C$6,D1074&lt;=小テスト!$E$6),1,0)</f>
        <v>1</v>
      </c>
      <c r="D1074" s="44">
        <f t="shared" si="49"/>
        <v>1073</v>
      </c>
      <c r="E1074" s="45" t="s">
        <v>1237</v>
      </c>
      <c r="F1074" s="46" t="s">
        <v>2985</v>
      </c>
    </row>
    <row r="1075" spans="1:6" ht="17">
      <c r="A1075" s="15">
        <f t="shared" ca="1" si="46"/>
        <v>116</v>
      </c>
      <c r="B1075" s="16">
        <f t="shared" ca="1" si="47"/>
        <v>0.94472599347644537</v>
      </c>
      <c r="C1075" s="17">
        <f>IF(AND(問題解答データベース!D1075&gt;=小テスト!$C$6,D1075&lt;=小テスト!$E$6),1,0)</f>
        <v>1</v>
      </c>
      <c r="D1075" s="44">
        <f t="shared" si="49"/>
        <v>1074</v>
      </c>
      <c r="E1075" s="45" t="s">
        <v>1238</v>
      </c>
      <c r="F1075" s="46" t="s">
        <v>2986</v>
      </c>
    </row>
    <row r="1076" spans="1:6" ht="17">
      <c r="A1076" s="15">
        <f t="shared" ca="1" si="46"/>
        <v>1380</v>
      </c>
      <c r="B1076" s="16">
        <f t="shared" ca="1" si="47"/>
        <v>0.27434689662445477</v>
      </c>
      <c r="C1076" s="17">
        <f>IF(AND(問題解答データベース!D1076&gt;=小テスト!$C$6,D1076&lt;=小テスト!$E$6),1,0)</f>
        <v>1</v>
      </c>
      <c r="D1076" s="44">
        <f t="shared" si="49"/>
        <v>1075</v>
      </c>
      <c r="E1076" s="45" t="s">
        <v>1239</v>
      </c>
      <c r="F1076" s="46" t="s">
        <v>2987</v>
      </c>
    </row>
    <row r="1077" spans="1:6" ht="17">
      <c r="A1077" s="15">
        <f t="shared" ca="1" si="46"/>
        <v>782</v>
      </c>
      <c r="B1077" s="16">
        <f t="shared" ca="1" si="47"/>
        <v>0.58585140479478159</v>
      </c>
      <c r="C1077" s="17">
        <f>IF(AND(問題解答データベース!D1077&gt;=小テスト!$C$6,D1077&lt;=小テスト!$E$6),1,0)</f>
        <v>1</v>
      </c>
      <c r="D1077" s="44">
        <f t="shared" si="49"/>
        <v>1076</v>
      </c>
      <c r="E1077" s="45" t="s">
        <v>1240</v>
      </c>
      <c r="F1077" s="46" t="s">
        <v>2988</v>
      </c>
    </row>
    <row r="1078" spans="1:6" ht="17">
      <c r="A1078" s="15">
        <f t="shared" ca="1" si="46"/>
        <v>1775</v>
      </c>
      <c r="B1078" s="16">
        <f t="shared" ca="1" si="47"/>
        <v>6.1639683272655565E-2</v>
      </c>
      <c r="C1078" s="17">
        <f>IF(AND(問題解答データベース!D1078&gt;=小テスト!$C$6,D1078&lt;=小テスト!$E$6),1,0)</f>
        <v>1</v>
      </c>
      <c r="D1078" s="44">
        <f t="shared" si="49"/>
        <v>1077</v>
      </c>
      <c r="E1078" s="45" t="s">
        <v>1241</v>
      </c>
      <c r="F1078" s="46" t="s">
        <v>2989</v>
      </c>
    </row>
    <row r="1079" spans="1:6" ht="17">
      <c r="A1079" s="15">
        <f t="shared" ca="1" si="46"/>
        <v>425</v>
      </c>
      <c r="B1079" s="16">
        <f t="shared" ca="1" si="47"/>
        <v>0.77382541347630629</v>
      </c>
      <c r="C1079" s="17">
        <f>IF(AND(問題解答データベース!D1079&gt;=小テスト!$C$6,D1079&lt;=小テスト!$E$6),1,0)</f>
        <v>1</v>
      </c>
      <c r="D1079" s="44">
        <f t="shared" si="49"/>
        <v>1078</v>
      </c>
      <c r="E1079" s="45" t="s">
        <v>1242</v>
      </c>
      <c r="F1079" s="46" t="s">
        <v>2990</v>
      </c>
    </row>
    <row r="1080" spans="1:6" ht="17">
      <c r="A1080" s="15">
        <f t="shared" ca="1" si="46"/>
        <v>227</v>
      </c>
      <c r="B1080" s="16">
        <f t="shared" ca="1" si="47"/>
        <v>0.88517792747382573</v>
      </c>
      <c r="C1080" s="17">
        <f>IF(AND(問題解答データベース!D1080&gt;=小テスト!$C$6,D1080&lt;=小テスト!$E$6),1,0)</f>
        <v>1</v>
      </c>
      <c r="D1080" s="44">
        <f t="shared" si="49"/>
        <v>1079</v>
      </c>
      <c r="E1080" s="45" t="s">
        <v>1243</v>
      </c>
      <c r="F1080" s="46" t="s">
        <v>2991</v>
      </c>
    </row>
    <row r="1081" spans="1:6" ht="17">
      <c r="A1081" s="15">
        <f t="shared" ca="1" si="46"/>
        <v>547</v>
      </c>
      <c r="B1081" s="16">
        <f t="shared" ca="1" si="47"/>
        <v>0.71469022053195186</v>
      </c>
      <c r="C1081" s="17">
        <f>IF(AND(問題解答データベース!D1081&gt;=小テスト!$C$6,D1081&lt;=小テスト!$E$6),1,0)</f>
        <v>1</v>
      </c>
      <c r="D1081" s="44">
        <f t="shared" si="49"/>
        <v>1080</v>
      </c>
      <c r="E1081" s="45" t="s">
        <v>1244</v>
      </c>
      <c r="F1081" s="46" t="s">
        <v>2992</v>
      </c>
    </row>
    <row r="1082" spans="1:6" ht="17">
      <c r="A1082" s="15">
        <f t="shared" ca="1" si="46"/>
        <v>1218</v>
      </c>
      <c r="B1082" s="16">
        <f t="shared" ca="1" si="47"/>
        <v>0.36365410588406499</v>
      </c>
      <c r="C1082" s="17">
        <f>IF(AND(問題解答データベース!D1082&gt;=小テスト!$C$6,D1082&lt;=小テスト!$E$6),1,0)</f>
        <v>1</v>
      </c>
      <c r="D1082" s="44">
        <f t="shared" si="49"/>
        <v>1081</v>
      </c>
      <c r="E1082" s="45" t="s">
        <v>1245</v>
      </c>
      <c r="F1082" s="46" t="s">
        <v>2993</v>
      </c>
    </row>
    <row r="1083" spans="1:6" ht="17">
      <c r="A1083" s="15">
        <f t="shared" ca="1" si="46"/>
        <v>1231</v>
      </c>
      <c r="B1083" s="16">
        <f t="shared" ca="1" si="47"/>
        <v>0.359211522710847</v>
      </c>
      <c r="C1083" s="17">
        <f>IF(AND(問題解答データベース!D1083&gt;=小テスト!$C$6,D1083&lt;=小テスト!$E$6),1,0)</f>
        <v>1</v>
      </c>
      <c r="D1083" s="44">
        <f t="shared" si="49"/>
        <v>1082</v>
      </c>
      <c r="E1083" s="45" t="s">
        <v>1246</v>
      </c>
      <c r="F1083" s="46" t="s">
        <v>2994</v>
      </c>
    </row>
    <row r="1084" spans="1:6" ht="17">
      <c r="A1084" s="15">
        <f t="shared" ca="1" si="46"/>
        <v>405</v>
      </c>
      <c r="B1084" s="16">
        <f t="shared" ca="1" si="47"/>
        <v>0.78540986751123631</v>
      </c>
      <c r="C1084" s="17">
        <f>IF(AND(問題解答データベース!D1084&gt;=小テスト!$C$6,D1084&lt;=小テスト!$E$6),1,0)</f>
        <v>1</v>
      </c>
      <c r="D1084" s="44">
        <f t="shared" si="49"/>
        <v>1083</v>
      </c>
      <c r="E1084" s="45" t="s">
        <v>1247</v>
      </c>
      <c r="F1084" s="46" t="s">
        <v>2995</v>
      </c>
    </row>
    <row r="1085" spans="1:6" ht="17">
      <c r="A1085" s="15">
        <f t="shared" ca="1" si="46"/>
        <v>348</v>
      </c>
      <c r="B1085" s="16">
        <f t="shared" ca="1" si="47"/>
        <v>0.81306842836571325</v>
      </c>
      <c r="C1085" s="17">
        <f>IF(AND(問題解答データベース!D1085&gt;=小テスト!$C$6,D1085&lt;=小テスト!$E$6),1,0)</f>
        <v>1</v>
      </c>
      <c r="D1085" s="44">
        <f t="shared" si="49"/>
        <v>1084</v>
      </c>
      <c r="E1085" s="45" t="s">
        <v>1248</v>
      </c>
      <c r="F1085" s="46" t="s">
        <v>2996</v>
      </c>
    </row>
    <row r="1086" spans="1:6" ht="17">
      <c r="A1086" s="15">
        <f t="shared" ca="1" si="46"/>
        <v>1381</v>
      </c>
      <c r="B1086" s="16">
        <f t="shared" ca="1" si="47"/>
        <v>0.27429617252300842</v>
      </c>
      <c r="C1086" s="17">
        <f>IF(AND(問題解答データベース!D1086&gt;=小テスト!$C$6,D1086&lt;=小テスト!$E$6),1,0)</f>
        <v>1</v>
      </c>
      <c r="D1086" s="44">
        <f t="shared" si="49"/>
        <v>1085</v>
      </c>
      <c r="E1086" s="45" t="s">
        <v>1249</v>
      </c>
      <c r="F1086" s="46" t="s">
        <v>2997</v>
      </c>
    </row>
    <row r="1087" spans="1:6" ht="17">
      <c r="A1087" s="15">
        <f t="shared" ca="1" si="46"/>
        <v>737</v>
      </c>
      <c r="B1087" s="16">
        <f t="shared" ca="1" si="47"/>
        <v>0.60633231385066544</v>
      </c>
      <c r="C1087" s="17">
        <f>IF(AND(問題解答データベース!D1087&gt;=小テスト!$C$6,D1087&lt;=小テスト!$E$6),1,0)</f>
        <v>1</v>
      </c>
      <c r="D1087" s="44">
        <f t="shared" si="49"/>
        <v>1086</v>
      </c>
      <c r="E1087" s="45" t="s">
        <v>1250</v>
      </c>
      <c r="F1087" s="46" t="s">
        <v>2998</v>
      </c>
    </row>
    <row r="1088" spans="1:6" ht="17">
      <c r="A1088" s="15">
        <f t="shared" ca="1" si="46"/>
        <v>406</v>
      </c>
      <c r="B1088" s="16">
        <f t="shared" ca="1" si="47"/>
        <v>0.7839260140366372</v>
      </c>
      <c r="C1088" s="17">
        <f>IF(AND(問題解答データベース!D1088&gt;=小テスト!$C$6,D1088&lt;=小テスト!$E$6),1,0)</f>
        <v>1</v>
      </c>
      <c r="D1088" s="44">
        <f t="shared" si="49"/>
        <v>1087</v>
      </c>
      <c r="E1088" s="45" t="s">
        <v>1251</v>
      </c>
      <c r="F1088" s="46" t="s">
        <v>2999</v>
      </c>
    </row>
    <row r="1089" spans="1:6" ht="17">
      <c r="A1089" s="15">
        <f t="shared" ca="1" si="46"/>
        <v>1163</v>
      </c>
      <c r="B1089" s="16">
        <f t="shared" ca="1" si="47"/>
        <v>0.38685590819298066</v>
      </c>
      <c r="C1089" s="17">
        <f>IF(AND(問題解答データベース!D1089&gt;=小テスト!$C$6,D1089&lt;=小テスト!$E$6),1,0)</f>
        <v>1</v>
      </c>
      <c r="D1089" s="44">
        <f t="shared" si="49"/>
        <v>1088</v>
      </c>
      <c r="E1089" s="45" t="s">
        <v>1252</v>
      </c>
      <c r="F1089" s="46" t="s">
        <v>3000</v>
      </c>
    </row>
    <row r="1090" spans="1:6" ht="17">
      <c r="A1090" s="15">
        <f t="shared" ca="1" si="46"/>
        <v>307</v>
      </c>
      <c r="B1090" s="16">
        <f t="shared" ca="1" si="47"/>
        <v>0.84189004876958762</v>
      </c>
      <c r="C1090" s="17">
        <f>IF(AND(問題解答データベース!D1090&gt;=小テスト!$C$6,D1090&lt;=小テスト!$E$6),1,0)</f>
        <v>1</v>
      </c>
      <c r="D1090" s="44">
        <f t="shared" si="49"/>
        <v>1089</v>
      </c>
      <c r="E1090" s="45" t="s">
        <v>1253</v>
      </c>
      <c r="F1090" s="46" t="s">
        <v>3001</v>
      </c>
    </row>
    <row r="1091" spans="1:6" ht="17">
      <c r="A1091" s="15">
        <f t="shared" ref="A1091:A1154" ca="1" si="50">RANK(B1091,$B$2:$B$1901,0)</f>
        <v>89</v>
      </c>
      <c r="B1091" s="16">
        <f t="shared" ca="1" si="47"/>
        <v>0.95774345133542871</v>
      </c>
      <c r="C1091" s="17">
        <f>IF(AND(問題解答データベース!D1091&gt;=小テスト!$C$6,D1091&lt;=小テスト!$E$6),1,0)</f>
        <v>1</v>
      </c>
      <c r="D1091" s="44">
        <f t="shared" si="49"/>
        <v>1090</v>
      </c>
      <c r="E1091" s="45" t="s">
        <v>1254</v>
      </c>
      <c r="F1091" s="46" t="s">
        <v>3002</v>
      </c>
    </row>
    <row r="1092" spans="1:6" ht="17">
      <c r="A1092" s="15">
        <f t="shared" ca="1" si="50"/>
        <v>1098</v>
      </c>
      <c r="B1092" s="16">
        <f t="shared" ca="1" si="47"/>
        <v>0.42436882814109766</v>
      </c>
      <c r="C1092" s="17">
        <f>IF(AND(問題解答データベース!D1092&gt;=小テスト!$C$6,D1092&lt;=小テスト!$E$6),1,0)</f>
        <v>1</v>
      </c>
      <c r="D1092" s="44">
        <f t="shared" si="49"/>
        <v>1091</v>
      </c>
      <c r="E1092" s="45" t="s">
        <v>1255</v>
      </c>
      <c r="F1092" s="46" t="s">
        <v>3003</v>
      </c>
    </row>
    <row r="1093" spans="1:6" ht="17">
      <c r="A1093" s="15">
        <f t="shared" ca="1" si="50"/>
        <v>1782</v>
      </c>
      <c r="B1093" s="16">
        <f t="shared" ca="1" si="47"/>
        <v>5.656706152401203E-2</v>
      </c>
      <c r="C1093" s="17">
        <f>IF(AND(問題解答データベース!D1093&gt;=小テスト!$C$6,D1093&lt;=小テスト!$E$6),1,0)</f>
        <v>1</v>
      </c>
      <c r="D1093" s="44">
        <f t="shared" si="49"/>
        <v>1092</v>
      </c>
      <c r="E1093" s="45" t="s">
        <v>1256</v>
      </c>
      <c r="F1093" s="46" t="s">
        <v>3004</v>
      </c>
    </row>
    <row r="1094" spans="1:6" ht="17">
      <c r="A1094" s="15">
        <f t="shared" ca="1" si="50"/>
        <v>1421</v>
      </c>
      <c r="B1094" s="16">
        <f t="shared" ca="1" si="47"/>
        <v>0.25228042679722817</v>
      </c>
      <c r="C1094" s="17">
        <f>IF(AND(問題解答データベース!D1094&gt;=小テスト!$C$6,D1094&lt;=小テスト!$E$6),1,0)</f>
        <v>1</v>
      </c>
      <c r="D1094" s="44">
        <f t="shared" si="49"/>
        <v>1093</v>
      </c>
      <c r="E1094" s="45" t="s">
        <v>1257</v>
      </c>
      <c r="F1094" s="46" t="s">
        <v>3005</v>
      </c>
    </row>
    <row r="1095" spans="1:6" ht="17">
      <c r="A1095" s="15">
        <f t="shared" ca="1" si="50"/>
        <v>1438</v>
      </c>
      <c r="B1095" s="16">
        <f t="shared" ca="1" si="47"/>
        <v>0.2435373919527889</v>
      </c>
      <c r="C1095" s="17">
        <f>IF(AND(問題解答データベース!D1095&gt;=小テスト!$C$6,D1095&lt;=小テスト!$E$6),1,0)</f>
        <v>1</v>
      </c>
      <c r="D1095" s="44">
        <f t="shared" si="49"/>
        <v>1094</v>
      </c>
      <c r="E1095" s="45" t="s">
        <v>1258</v>
      </c>
      <c r="F1095" s="46" t="s">
        <v>3006</v>
      </c>
    </row>
    <row r="1096" spans="1:6" ht="17">
      <c r="A1096" s="15">
        <f t="shared" ca="1" si="50"/>
        <v>577</v>
      </c>
      <c r="B1096" s="16">
        <f t="shared" ca="1" si="47"/>
        <v>0.70027800498177672</v>
      </c>
      <c r="C1096" s="17">
        <f>IF(AND(問題解答データベース!D1096&gt;=小テスト!$C$6,D1096&lt;=小テスト!$E$6),1,0)</f>
        <v>1</v>
      </c>
      <c r="D1096" s="44">
        <f t="shared" si="49"/>
        <v>1095</v>
      </c>
      <c r="E1096" s="45" t="s">
        <v>1259</v>
      </c>
      <c r="F1096" s="46" t="s">
        <v>3007</v>
      </c>
    </row>
    <row r="1097" spans="1:6" ht="17">
      <c r="A1097" s="15">
        <f t="shared" ca="1" si="50"/>
        <v>1862</v>
      </c>
      <c r="B1097" s="16">
        <f t="shared" ca="1" si="47"/>
        <v>1.6851491395582729E-2</v>
      </c>
      <c r="C1097" s="17">
        <f>IF(AND(問題解答データベース!D1097&gt;=小テスト!$C$6,D1097&lt;=小テスト!$E$6),1,0)</f>
        <v>1</v>
      </c>
      <c r="D1097" s="44">
        <f t="shared" si="49"/>
        <v>1096</v>
      </c>
      <c r="E1097" s="45" t="s">
        <v>1260</v>
      </c>
      <c r="F1097" s="46" t="s">
        <v>3008</v>
      </c>
    </row>
    <row r="1098" spans="1:6" ht="17">
      <c r="A1098" s="15">
        <f t="shared" ca="1" si="50"/>
        <v>1054</v>
      </c>
      <c r="B1098" s="16">
        <f t="shared" ref="B1098:B1161" ca="1" si="51">IF(C1098=1,RAND(),0)</f>
        <v>0.45231476426834616</v>
      </c>
      <c r="C1098" s="17">
        <f>IF(AND(問題解答データベース!D1098&gt;=小テスト!$C$6,D1098&lt;=小テスト!$E$6),1,0)</f>
        <v>1</v>
      </c>
      <c r="D1098" s="44">
        <f t="shared" si="49"/>
        <v>1097</v>
      </c>
      <c r="E1098" s="45" t="s">
        <v>1261</v>
      </c>
      <c r="F1098" s="46" t="s">
        <v>3009</v>
      </c>
    </row>
    <row r="1099" spans="1:6" ht="17">
      <c r="A1099" s="15">
        <f t="shared" ca="1" si="50"/>
        <v>441</v>
      </c>
      <c r="B1099" s="16">
        <f t="shared" ca="1" si="51"/>
        <v>0.76736694423948026</v>
      </c>
      <c r="C1099" s="17">
        <f>IF(AND(問題解答データベース!D1099&gt;=小テスト!$C$6,D1099&lt;=小テスト!$E$6),1,0)</f>
        <v>1</v>
      </c>
      <c r="D1099" s="44">
        <f t="shared" si="49"/>
        <v>1098</v>
      </c>
      <c r="E1099" s="45" t="s">
        <v>1262</v>
      </c>
      <c r="F1099" s="46" t="s">
        <v>3010</v>
      </c>
    </row>
    <row r="1100" spans="1:6" ht="17">
      <c r="A1100" s="15">
        <f t="shared" ca="1" si="50"/>
        <v>410</v>
      </c>
      <c r="B1100" s="16">
        <f t="shared" ca="1" si="51"/>
        <v>0.78269356759105346</v>
      </c>
      <c r="C1100" s="17">
        <f>IF(AND(問題解答データベース!D1100&gt;=小テスト!$C$6,D1100&lt;=小テスト!$E$6),1,0)</f>
        <v>1</v>
      </c>
      <c r="D1100" s="44">
        <f t="shared" si="49"/>
        <v>1099</v>
      </c>
      <c r="E1100" s="45" t="s">
        <v>1263</v>
      </c>
      <c r="F1100" s="46" t="s">
        <v>3011</v>
      </c>
    </row>
    <row r="1101" spans="1:6" ht="17">
      <c r="A1101" s="15">
        <f t="shared" ca="1" si="50"/>
        <v>1078</v>
      </c>
      <c r="B1101" s="16">
        <f t="shared" ca="1" si="51"/>
        <v>0.43563094911817979</v>
      </c>
      <c r="C1101" s="17">
        <f>IF(AND(問題解答データベース!D1101&gt;=小テスト!$C$6,D1101&lt;=小テスト!$E$6),1,0)</f>
        <v>1</v>
      </c>
      <c r="D1101" s="44">
        <f t="shared" si="49"/>
        <v>1100</v>
      </c>
      <c r="E1101" s="45" t="s">
        <v>1264</v>
      </c>
      <c r="F1101" s="46" t="s">
        <v>3012</v>
      </c>
    </row>
    <row r="1102" spans="1:6" ht="17">
      <c r="A1102" s="15">
        <f t="shared" ca="1" si="50"/>
        <v>1852</v>
      </c>
      <c r="B1102" s="16">
        <f t="shared" ca="1" si="51"/>
        <v>2.2833715692555434E-2</v>
      </c>
      <c r="C1102" s="17">
        <f>IF(AND(問題解答データベース!D1102&gt;=小テスト!$C$6,D1102&lt;=小テスト!$E$6),1,0)</f>
        <v>1</v>
      </c>
      <c r="D1102" s="44">
        <f t="shared" si="49"/>
        <v>1101</v>
      </c>
      <c r="E1102" s="45" t="s">
        <v>1265</v>
      </c>
      <c r="F1102" s="46" t="s">
        <v>3013</v>
      </c>
    </row>
    <row r="1103" spans="1:6" ht="17">
      <c r="A1103" s="15">
        <f t="shared" ca="1" si="50"/>
        <v>103</v>
      </c>
      <c r="B1103" s="16">
        <f t="shared" ca="1" si="51"/>
        <v>0.95229544233156538</v>
      </c>
      <c r="C1103" s="17">
        <f>IF(AND(問題解答データベース!D1103&gt;=小テスト!$C$6,D1103&lt;=小テスト!$E$6),1,0)</f>
        <v>1</v>
      </c>
      <c r="D1103" s="44">
        <f t="shared" si="49"/>
        <v>1102</v>
      </c>
      <c r="E1103" s="45" t="s">
        <v>1266</v>
      </c>
      <c r="F1103" s="46" t="s">
        <v>3014</v>
      </c>
    </row>
    <row r="1104" spans="1:6" ht="17">
      <c r="A1104" s="15">
        <f t="shared" ca="1" si="50"/>
        <v>968</v>
      </c>
      <c r="B1104" s="16">
        <f t="shared" ca="1" si="51"/>
        <v>0.49088022108339269</v>
      </c>
      <c r="C1104" s="17">
        <f>IF(AND(問題解答データベース!D1104&gt;=小テスト!$C$6,D1104&lt;=小テスト!$E$6),1,0)</f>
        <v>1</v>
      </c>
      <c r="D1104" s="44">
        <f t="shared" si="49"/>
        <v>1103</v>
      </c>
      <c r="E1104" s="45" t="s">
        <v>1267</v>
      </c>
      <c r="F1104" s="46" t="s">
        <v>3015</v>
      </c>
    </row>
    <row r="1105" spans="1:6" ht="17">
      <c r="A1105" s="15">
        <f t="shared" ca="1" si="50"/>
        <v>1199</v>
      </c>
      <c r="B1105" s="16">
        <f t="shared" ca="1" si="51"/>
        <v>0.36772667510997414</v>
      </c>
      <c r="C1105" s="17">
        <f>IF(AND(問題解答データベース!D1105&gt;=小テスト!$C$6,D1105&lt;=小テスト!$E$6),1,0)</f>
        <v>1</v>
      </c>
      <c r="D1105" s="44">
        <f t="shared" si="49"/>
        <v>1104</v>
      </c>
      <c r="E1105" s="45" t="s">
        <v>1268</v>
      </c>
      <c r="F1105" s="46" t="s">
        <v>3016</v>
      </c>
    </row>
    <row r="1106" spans="1:6" ht="17">
      <c r="A1106" s="15">
        <f t="shared" ca="1" si="50"/>
        <v>1814</v>
      </c>
      <c r="B1106" s="16">
        <f t="shared" ca="1" si="51"/>
        <v>4.1607251289125791E-2</v>
      </c>
      <c r="C1106" s="17">
        <f>IF(AND(問題解答データベース!D1106&gt;=小テスト!$C$6,D1106&lt;=小テスト!$E$6),1,0)</f>
        <v>1</v>
      </c>
      <c r="D1106" s="44">
        <f t="shared" si="49"/>
        <v>1105</v>
      </c>
      <c r="E1106" s="45" t="s">
        <v>1269</v>
      </c>
      <c r="F1106" s="46" t="s">
        <v>3017</v>
      </c>
    </row>
    <row r="1107" spans="1:6" ht="17">
      <c r="A1107" s="15">
        <f t="shared" ca="1" si="50"/>
        <v>1009</v>
      </c>
      <c r="B1107" s="16">
        <f t="shared" ca="1" si="51"/>
        <v>0.47422979253944586</v>
      </c>
      <c r="C1107" s="17">
        <f>IF(AND(問題解答データベース!D1107&gt;=小テスト!$C$6,D1107&lt;=小テスト!$E$6),1,0)</f>
        <v>1</v>
      </c>
      <c r="D1107" s="44">
        <f t="shared" si="49"/>
        <v>1106</v>
      </c>
      <c r="E1107" s="45" t="s">
        <v>1270</v>
      </c>
      <c r="F1107" s="46" t="s">
        <v>3018</v>
      </c>
    </row>
    <row r="1108" spans="1:6" ht="17">
      <c r="A1108" s="15">
        <f t="shared" ca="1" si="50"/>
        <v>1386</v>
      </c>
      <c r="B1108" s="16">
        <f t="shared" ca="1" si="51"/>
        <v>0.27102743825963438</v>
      </c>
      <c r="C1108" s="17">
        <f>IF(AND(問題解答データベース!D1108&gt;=小テスト!$C$6,D1108&lt;=小テスト!$E$6),1,0)</f>
        <v>1</v>
      </c>
      <c r="D1108" s="44">
        <f t="shared" si="49"/>
        <v>1107</v>
      </c>
      <c r="E1108" s="45" t="s">
        <v>1271</v>
      </c>
      <c r="F1108" s="46" t="s">
        <v>3019</v>
      </c>
    </row>
    <row r="1109" spans="1:6" ht="17">
      <c r="A1109" s="15">
        <f t="shared" ca="1" si="50"/>
        <v>1466</v>
      </c>
      <c r="B1109" s="16">
        <f t="shared" ca="1" si="51"/>
        <v>0.22410392665281864</v>
      </c>
      <c r="C1109" s="17">
        <f>IF(AND(問題解答データベース!D1109&gt;=小テスト!$C$6,D1109&lt;=小テスト!$E$6),1,0)</f>
        <v>1</v>
      </c>
      <c r="D1109" s="44">
        <f t="shared" si="49"/>
        <v>1108</v>
      </c>
      <c r="E1109" s="45" t="s">
        <v>1272</v>
      </c>
      <c r="F1109" s="46" t="s">
        <v>3020</v>
      </c>
    </row>
    <row r="1110" spans="1:6" ht="17">
      <c r="A1110" s="15">
        <f t="shared" ca="1" si="50"/>
        <v>896</v>
      </c>
      <c r="B1110" s="16">
        <f t="shared" ca="1" si="51"/>
        <v>0.52530832680696049</v>
      </c>
      <c r="C1110" s="17">
        <f>IF(AND(問題解答データベース!D1110&gt;=小テスト!$C$6,D1110&lt;=小テスト!$E$6),1,0)</f>
        <v>1</v>
      </c>
      <c r="D1110" s="44">
        <f t="shared" si="49"/>
        <v>1109</v>
      </c>
      <c r="E1110" s="45" t="s">
        <v>1273</v>
      </c>
      <c r="F1110" s="46" t="s">
        <v>3021</v>
      </c>
    </row>
    <row r="1111" spans="1:6" ht="17">
      <c r="A1111" s="15">
        <f t="shared" ca="1" si="50"/>
        <v>35</v>
      </c>
      <c r="B1111" s="16">
        <f t="shared" ca="1" si="51"/>
        <v>0.98011156582237813</v>
      </c>
      <c r="C1111" s="17">
        <f>IF(AND(問題解答データベース!D1111&gt;=小テスト!$C$6,D1111&lt;=小テスト!$E$6),1,0)</f>
        <v>1</v>
      </c>
      <c r="D1111" s="44">
        <f t="shared" si="49"/>
        <v>1110</v>
      </c>
      <c r="E1111" s="45" t="s">
        <v>1274</v>
      </c>
      <c r="F1111" s="46" t="s">
        <v>3022</v>
      </c>
    </row>
    <row r="1112" spans="1:6" ht="17">
      <c r="A1112" s="15">
        <f t="shared" ca="1" si="50"/>
        <v>109</v>
      </c>
      <c r="B1112" s="16">
        <f t="shared" ca="1" si="51"/>
        <v>0.94968204527454381</v>
      </c>
      <c r="C1112" s="17">
        <f>IF(AND(問題解答データベース!D1112&gt;=小テスト!$C$6,D1112&lt;=小テスト!$E$6),1,0)</f>
        <v>1</v>
      </c>
      <c r="D1112" s="44">
        <f t="shared" si="49"/>
        <v>1111</v>
      </c>
      <c r="E1112" s="45" t="s">
        <v>1275</v>
      </c>
      <c r="F1112" s="46" t="s">
        <v>3023</v>
      </c>
    </row>
    <row r="1113" spans="1:6" ht="17">
      <c r="A1113" s="15">
        <f t="shared" ca="1" si="50"/>
        <v>248</v>
      </c>
      <c r="B1113" s="16">
        <f t="shared" ca="1" si="51"/>
        <v>0.87165538251097463</v>
      </c>
      <c r="C1113" s="17">
        <f>IF(AND(問題解答データベース!D1113&gt;=小テスト!$C$6,D1113&lt;=小テスト!$E$6),1,0)</f>
        <v>1</v>
      </c>
      <c r="D1113" s="44">
        <f t="shared" si="49"/>
        <v>1112</v>
      </c>
      <c r="E1113" s="45" t="s">
        <v>1276</v>
      </c>
      <c r="F1113" s="46" t="s">
        <v>3024</v>
      </c>
    </row>
    <row r="1114" spans="1:6" ht="17">
      <c r="A1114" s="15">
        <f t="shared" ca="1" si="50"/>
        <v>1220</v>
      </c>
      <c r="B1114" s="16">
        <f t="shared" ca="1" si="51"/>
        <v>0.36349712466530748</v>
      </c>
      <c r="C1114" s="17">
        <f>IF(AND(問題解答データベース!D1114&gt;=小テスト!$C$6,D1114&lt;=小テスト!$E$6),1,0)</f>
        <v>1</v>
      </c>
      <c r="D1114" s="44">
        <f t="shared" si="49"/>
        <v>1113</v>
      </c>
      <c r="E1114" s="45" t="s">
        <v>1277</v>
      </c>
      <c r="F1114" s="46" t="s">
        <v>3025</v>
      </c>
    </row>
    <row r="1115" spans="1:6" ht="17">
      <c r="A1115" s="15">
        <f t="shared" ca="1" si="50"/>
        <v>329</v>
      </c>
      <c r="B1115" s="16">
        <f t="shared" ca="1" si="51"/>
        <v>0.82245635521053395</v>
      </c>
      <c r="C1115" s="17">
        <f>IF(AND(問題解答データベース!D1115&gt;=小テスト!$C$6,D1115&lt;=小テスト!$E$6),1,0)</f>
        <v>1</v>
      </c>
      <c r="D1115" s="44">
        <f t="shared" si="49"/>
        <v>1114</v>
      </c>
      <c r="E1115" s="45" t="s">
        <v>1278</v>
      </c>
      <c r="F1115" s="46" t="s">
        <v>3026</v>
      </c>
    </row>
    <row r="1116" spans="1:6" ht="17">
      <c r="A1116" s="15">
        <f t="shared" ca="1" si="50"/>
        <v>160</v>
      </c>
      <c r="B1116" s="16">
        <f t="shared" ca="1" si="51"/>
        <v>0.92163090585035223</v>
      </c>
      <c r="C1116" s="17">
        <f>IF(AND(問題解答データベース!D1116&gt;=小テスト!$C$6,D1116&lt;=小テスト!$E$6),1,0)</f>
        <v>1</v>
      </c>
      <c r="D1116" s="44">
        <f t="shared" ref="D1116:D1179" si="52">D1115+1</f>
        <v>1115</v>
      </c>
      <c r="E1116" s="45" t="s">
        <v>1279</v>
      </c>
      <c r="F1116" s="46" t="s">
        <v>3027</v>
      </c>
    </row>
    <row r="1117" spans="1:6" ht="17">
      <c r="A1117" s="15">
        <f t="shared" ca="1" si="50"/>
        <v>1355</v>
      </c>
      <c r="B1117" s="16">
        <f t="shared" ca="1" si="51"/>
        <v>0.2902794787184344</v>
      </c>
      <c r="C1117" s="17">
        <f>IF(AND(問題解答データベース!D1117&gt;=小テスト!$C$6,D1117&lt;=小テスト!$E$6),1,0)</f>
        <v>1</v>
      </c>
      <c r="D1117" s="44">
        <f t="shared" si="52"/>
        <v>1116</v>
      </c>
      <c r="E1117" s="45" t="s">
        <v>1280</v>
      </c>
      <c r="F1117" s="46" t="s">
        <v>3028</v>
      </c>
    </row>
    <row r="1118" spans="1:6" ht="17">
      <c r="A1118" s="15">
        <f t="shared" ca="1" si="50"/>
        <v>671</v>
      </c>
      <c r="B1118" s="16">
        <f t="shared" ca="1" si="51"/>
        <v>0.64895494261884012</v>
      </c>
      <c r="C1118" s="17">
        <f>IF(AND(問題解答データベース!D1118&gt;=小テスト!$C$6,D1118&lt;=小テスト!$E$6),1,0)</f>
        <v>1</v>
      </c>
      <c r="D1118" s="44">
        <f t="shared" si="52"/>
        <v>1117</v>
      </c>
      <c r="E1118" s="45" t="s">
        <v>1281</v>
      </c>
      <c r="F1118" s="46" t="s">
        <v>3029</v>
      </c>
    </row>
    <row r="1119" spans="1:6" ht="17">
      <c r="A1119" s="15">
        <f t="shared" ca="1" si="50"/>
        <v>1855</v>
      </c>
      <c r="B1119" s="16">
        <f t="shared" ca="1" si="51"/>
        <v>2.0210510462331466E-2</v>
      </c>
      <c r="C1119" s="17">
        <f>IF(AND(問題解答データベース!D1119&gt;=小テスト!$C$6,D1119&lt;=小テスト!$E$6),1,0)</f>
        <v>1</v>
      </c>
      <c r="D1119" s="44">
        <f t="shared" si="52"/>
        <v>1118</v>
      </c>
      <c r="E1119" s="45" t="s">
        <v>1282</v>
      </c>
      <c r="F1119" s="46" t="s">
        <v>3030</v>
      </c>
    </row>
    <row r="1120" spans="1:6" ht="17">
      <c r="A1120" s="15">
        <f t="shared" ca="1" si="50"/>
        <v>884</v>
      </c>
      <c r="B1120" s="16">
        <f t="shared" ca="1" si="51"/>
        <v>0.5317098625594282</v>
      </c>
      <c r="C1120" s="17">
        <f>IF(AND(問題解答データベース!D1120&gt;=小テスト!$C$6,D1120&lt;=小テスト!$E$6),1,0)</f>
        <v>1</v>
      </c>
      <c r="D1120" s="44">
        <f t="shared" si="52"/>
        <v>1119</v>
      </c>
      <c r="E1120" s="45" t="s">
        <v>1283</v>
      </c>
      <c r="F1120" s="46" t="s">
        <v>3031</v>
      </c>
    </row>
    <row r="1121" spans="1:6" ht="17">
      <c r="A1121" s="15">
        <f t="shared" ca="1" si="50"/>
        <v>1185</v>
      </c>
      <c r="B1121" s="16">
        <f t="shared" ca="1" si="51"/>
        <v>0.37458895814784288</v>
      </c>
      <c r="C1121" s="17">
        <f>IF(AND(問題解答データベース!D1121&gt;=小テスト!$C$6,D1121&lt;=小テスト!$E$6),1,0)</f>
        <v>1</v>
      </c>
      <c r="D1121" s="44">
        <f t="shared" si="52"/>
        <v>1120</v>
      </c>
      <c r="E1121" s="45" t="s">
        <v>1284</v>
      </c>
      <c r="F1121" s="46" t="s">
        <v>3032</v>
      </c>
    </row>
    <row r="1122" spans="1:6" ht="17">
      <c r="A1122" s="15">
        <f t="shared" ca="1" si="50"/>
        <v>294</v>
      </c>
      <c r="B1122" s="16">
        <f t="shared" ca="1" si="51"/>
        <v>0.84922933608303253</v>
      </c>
      <c r="C1122" s="17">
        <f>IF(AND(問題解答データベース!D1122&gt;=小テスト!$C$6,D1122&lt;=小テスト!$E$6),1,0)</f>
        <v>1</v>
      </c>
      <c r="D1122" s="44">
        <f t="shared" si="52"/>
        <v>1121</v>
      </c>
      <c r="E1122" s="45" t="s">
        <v>1285</v>
      </c>
      <c r="F1122" s="46" t="s">
        <v>3033</v>
      </c>
    </row>
    <row r="1123" spans="1:6" ht="17">
      <c r="A1123" s="15">
        <f t="shared" ca="1" si="50"/>
        <v>1441</v>
      </c>
      <c r="B1123" s="16">
        <f t="shared" ca="1" si="51"/>
        <v>0.2425726809286628</v>
      </c>
      <c r="C1123" s="17">
        <f>IF(AND(問題解答データベース!D1123&gt;=小テスト!$C$6,D1123&lt;=小テスト!$E$6),1,0)</f>
        <v>1</v>
      </c>
      <c r="D1123" s="44">
        <f t="shared" si="52"/>
        <v>1122</v>
      </c>
      <c r="E1123" s="45" t="s">
        <v>1286</v>
      </c>
      <c r="F1123" s="46" t="s">
        <v>3034</v>
      </c>
    </row>
    <row r="1124" spans="1:6" ht="17">
      <c r="A1124" s="15">
        <f t="shared" ca="1" si="50"/>
        <v>1279</v>
      </c>
      <c r="B1124" s="16">
        <f t="shared" ca="1" si="51"/>
        <v>0.3336596787219015</v>
      </c>
      <c r="C1124" s="17">
        <f>IF(AND(問題解答データベース!D1124&gt;=小テスト!$C$6,D1124&lt;=小テスト!$E$6),1,0)</f>
        <v>1</v>
      </c>
      <c r="D1124" s="44">
        <f t="shared" si="52"/>
        <v>1123</v>
      </c>
      <c r="E1124" s="45" t="s">
        <v>1287</v>
      </c>
      <c r="F1124" s="46" t="s">
        <v>3035</v>
      </c>
    </row>
    <row r="1125" spans="1:6" ht="17">
      <c r="A1125" s="15">
        <f t="shared" ca="1" si="50"/>
        <v>990</v>
      </c>
      <c r="B1125" s="16">
        <f t="shared" ca="1" si="51"/>
        <v>0.48165377904924556</v>
      </c>
      <c r="C1125" s="17">
        <f>IF(AND(問題解答データベース!D1125&gt;=小テスト!$C$6,D1125&lt;=小テスト!$E$6),1,0)</f>
        <v>1</v>
      </c>
      <c r="D1125" s="44">
        <f t="shared" si="52"/>
        <v>1124</v>
      </c>
      <c r="E1125" s="45" t="s">
        <v>1288</v>
      </c>
      <c r="F1125" s="46" t="s">
        <v>3036</v>
      </c>
    </row>
    <row r="1126" spans="1:6" ht="17">
      <c r="A1126" s="15">
        <f t="shared" ca="1" si="50"/>
        <v>11</v>
      </c>
      <c r="B1126" s="16">
        <f t="shared" ca="1" si="51"/>
        <v>0.99498809442422698</v>
      </c>
      <c r="C1126" s="17">
        <f>IF(AND(問題解答データベース!D1126&gt;=小テスト!$C$6,D1126&lt;=小テスト!$E$6),1,0)</f>
        <v>1</v>
      </c>
      <c r="D1126" s="44">
        <f t="shared" si="52"/>
        <v>1125</v>
      </c>
      <c r="E1126" s="45" t="s">
        <v>1289</v>
      </c>
      <c r="F1126" s="46" t="s">
        <v>3037</v>
      </c>
    </row>
    <row r="1127" spans="1:6" ht="17">
      <c r="A1127" s="15">
        <f t="shared" ca="1" si="50"/>
        <v>674</v>
      </c>
      <c r="B1127" s="16">
        <f t="shared" ca="1" si="51"/>
        <v>0.64690031815523208</v>
      </c>
      <c r="C1127" s="17">
        <f>IF(AND(問題解答データベース!D1127&gt;=小テスト!$C$6,D1127&lt;=小テスト!$E$6),1,0)</f>
        <v>1</v>
      </c>
      <c r="D1127" s="44">
        <f t="shared" si="52"/>
        <v>1126</v>
      </c>
      <c r="E1127" s="45" t="s">
        <v>1290</v>
      </c>
      <c r="F1127" s="46" t="s">
        <v>3038</v>
      </c>
    </row>
    <row r="1128" spans="1:6" ht="17">
      <c r="A1128" s="15">
        <f t="shared" ca="1" si="50"/>
        <v>1846</v>
      </c>
      <c r="B1128" s="16">
        <f t="shared" ca="1" si="51"/>
        <v>2.7424858973901456E-2</v>
      </c>
      <c r="C1128" s="17">
        <f>IF(AND(問題解答データベース!D1128&gt;=小テスト!$C$6,D1128&lt;=小テスト!$E$6),1,0)</f>
        <v>1</v>
      </c>
      <c r="D1128" s="44">
        <f t="shared" si="52"/>
        <v>1127</v>
      </c>
      <c r="E1128" s="45" t="s">
        <v>1291</v>
      </c>
      <c r="F1128" s="46" t="s">
        <v>3039</v>
      </c>
    </row>
    <row r="1129" spans="1:6" ht="17">
      <c r="A1129" s="15">
        <f t="shared" ca="1" si="50"/>
        <v>771</v>
      </c>
      <c r="B1129" s="16">
        <f t="shared" ca="1" si="51"/>
        <v>0.59341001868848753</v>
      </c>
      <c r="C1129" s="17">
        <f>IF(AND(問題解答データベース!D1129&gt;=小テスト!$C$6,D1129&lt;=小テスト!$E$6),1,0)</f>
        <v>1</v>
      </c>
      <c r="D1129" s="44">
        <f t="shared" si="52"/>
        <v>1128</v>
      </c>
      <c r="E1129" s="45" t="s">
        <v>1292</v>
      </c>
      <c r="F1129" s="46" t="s">
        <v>3040</v>
      </c>
    </row>
    <row r="1130" spans="1:6" ht="17">
      <c r="A1130" s="15">
        <f t="shared" ca="1" si="50"/>
        <v>864</v>
      </c>
      <c r="B1130" s="16">
        <f t="shared" ca="1" si="51"/>
        <v>0.54032609835442147</v>
      </c>
      <c r="C1130" s="17">
        <f>IF(AND(問題解答データベース!D1130&gt;=小テスト!$C$6,D1130&lt;=小テスト!$E$6),1,0)</f>
        <v>1</v>
      </c>
      <c r="D1130" s="44">
        <f t="shared" si="52"/>
        <v>1129</v>
      </c>
      <c r="E1130" s="45" t="s">
        <v>1293</v>
      </c>
      <c r="F1130" s="46" t="s">
        <v>3041</v>
      </c>
    </row>
    <row r="1131" spans="1:6" ht="17">
      <c r="A1131" s="15">
        <f t="shared" ca="1" si="50"/>
        <v>377</v>
      </c>
      <c r="B1131" s="16">
        <f t="shared" ca="1" si="51"/>
        <v>0.79799038661296873</v>
      </c>
      <c r="C1131" s="17">
        <f>IF(AND(問題解答データベース!D1131&gt;=小テスト!$C$6,D1131&lt;=小テスト!$E$6),1,0)</f>
        <v>1</v>
      </c>
      <c r="D1131" s="44">
        <f t="shared" si="52"/>
        <v>1130</v>
      </c>
      <c r="E1131" s="45" t="s">
        <v>1294</v>
      </c>
      <c r="F1131" s="46" t="s">
        <v>3042</v>
      </c>
    </row>
    <row r="1132" spans="1:6" ht="17">
      <c r="A1132" s="15">
        <f t="shared" ca="1" si="50"/>
        <v>1407</v>
      </c>
      <c r="B1132" s="16">
        <f t="shared" ca="1" si="51"/>
        <v>0.26243858143240995</v>
      </c>
      <c r="C1132" s="17">
        <f>IF(AND(問題解答データベース!D1132&gt;=小テスト!$C$6,D1132&lt;=小テスト!$E$6),1,0)</f>
        <v>1</v>
      </c>
      <c r="D1132" s="44">
        <f t="shared" si="52"/>
        <v>1131</v>
      </c>
      <c r="E1132" s="45" t="s">
        <v>1295</v>
      </c>
      <c r="F1132" s="46" t="s">
        <v>3043</v>
      </c>
    </row>
    <row r="1133" spans="1:6" ht="17">
      <c r="A1133" s="15">
        <f t="shared" ca="1" si="50"/>
        <v>1686</v>
      </c>
      <c r="B1133" s="16">
        <f t="shared" ca="1" si="51"/>
        <v>0.10939747641144915</v>
      </c>
      <c r="C1133" s="17">
        <f>IF(AND(問題解答データベース!D1133&gt;=小テスト!$C$6,D1133&lt;=小テスト!$E$6),1,0)</f>
        <v>1</v>
      </c>
      <c r="D1133" s="44">
        <f t="shared" si="52"/>
        <v>1132</v>
      </c>
      <c r="E1133" s="45" t="s">
        <v>1296</v>
      </c>
      <c r="F1133" s="46" t="s">
        <v>3044</v>
      </c>
    </row>
    <row r="1134" spans="1:6" ht="17">
      <c r="A1134" s="15">
        <f t="shared" ca="1" si="50"/>
        <v>730</v>
      </c>
      <c r="B1134" s="16">
        <f t="shared" ca="1" si="51"/>
        <v>0.61249540207572617</v>
      </c>
      <c r="C1134" s="17">
        <f>IF(AND(問題解答データベース!D1134&gt;=小テスト!$C$6,D1134&lt;=小テスト!$E$6),1,0)</f>
        <v>1</v>
      </c>
      <c r="D1134" s="44">
        <f t="shared" si="52"/>
        <v>1133</v>
      </c>
      <c r="E1134" s="45" t="s">
        <v>1297</v>
      </c>
      <c r="F1134" s="46" t="s">
        <v>3045</v>
      </c>
    </row>
    <row r="1135" spans="1:6" ht="17">
      <c r="A1135" s="15">
        <f t="shared" ca="1" si="50"/>
        <v>96</v>
      </c>
      <c r="B1135" s="16">
        <f t="shared" ca="1" si="51"/>
        <v>0.95364529419579347</v>
      </c>
      <c r="C1135" s="17">
        <f>IF(AND(問題解答データベース!D1135&gt;=小テスト!$C$6,D1135&lt;=小テスト!$E$6),1,0)</f>
        <v>1</v>
      </c>
      <c r="D1135" s="44">
        <f t="shared" si="52"/>
        <v>1134</v>
      </c>
      <c r="E1135" s="45" t="s">
        <v>1298</v>
      </c>
      <c r="F1135" s="46" t="s">
        <v>3046</v>
      </c>
    </row>
    <row r="1136" spans="1:6" ht="17">
      <c r="A1136" s="15">
        <f t="shared" ca="1" si="50"/>
        <v>765</v>
      </c>
      <c r="B1136" s="16">
        <f t="shared" ca="1" si="51"/>
        <v>0.59565097217214513</v>
      </c>
      <c r="C1136" s="17">
        <f>IF(AND(問題解答データベース!D1136&gt;=小テスト!$C$6,D1136&lt;=小テスト!$E$6),1,0)</f>
        <v>1</v>
      </c>
      <c r="D1136" s="44">
        <f t="shared" si="52"/>
        <v>1135</v>
      </c>
      <c r="E1136" s="45" t="s">
        <v>1299</v>
      </c>
      <c r="F1136" s="46" t="s">
        <v>3047</v>
      </c>
    </row>
    <row r="1137" spans="1:6" ht="17">
      <c r="A1137" s="15">
        <f t="shared" ca="1" si="50"/>
        <v>647</v>
      </c>
      <c r="B1137" s="16">
        <f t="shared" ca="1" si="51"/>
        <v>0.65892266629231577</v>
      </c>
      <c r="C1137" s="17">
        <f>IF(AND(問題解答データベース!D1137&gt;=小テスト!$C$6,D1137&lt;=小テスト!$E$6),1,0)</f>
        <v>1</v>
      </c>
      <c r="D1137" s="44">
        <f t="shared" si="52"/>
        <v>1136</v>
      </c>
      <c r="E1137" s="45" t="s">
        <v>1300</v>
      </c>
      <c r="F1137" s="46" t="s">
        <v>3048</v>
      </c>
    </row>
    <row r="1138" spans="1:6" ht="17">
      <c r="A1138" s="15">
        <f t="shared" ca="1" si="50"/>
        <v>1711</v>
      </c>
      <c r="B1138" s="16">
        <f t="shared" ca="1" si="51"/>
        <v>9.4930020996596864E-2</v>
      </c>
      <c r="C1138" s="17">
        <f>IF(AND(問題解答データベース!D1138&gt;=小テスト!$C$6,D1138&lt;=小テスト!$E$6),1,0)</f>
        <v>1</v>
      </c>
      <c r="D1138" s="44">
        <f t="shared" si="52"/>
        <v>1137</v>
      </c>
      <c r="E1138" s="45" t="s">
        <v>1301</v>
      </c>
      <c r="F1138" s="46" t="s">
        <v>3049</v>
      </c>
    </row>
    <row r="1139" spans="1:6" ht="17">
      <c r="A1139" s="15">
        <f t="shared" ca="1" si="50"/>
        <v>271</v>
      </c>
      <c r="B1139" s="16">
        <f t="shared" ca="1" si="51"/>
        <v>0.85928939365965196</v>
      </c>
      <c r="C1139" s="17">
        <f>IF(AND(問題解答データベース!D1139&gt;=小テスト!$C$6,D1139&lt;=小テスト!$E$6),1,0)</f>
        <v>1</v>
      </c>
      <c r="D1139" s="44">
        <f t="shared" si="52"/>
        <v>1138</v>
      </c>
      <c r="E1139" s="45" t="s">
        <v>1302</v>
      </c>
      <c r="F1139" s="46" t="s">
        <v>3050</v>
      </c>
    </row>
    <row r="1140" spans="1:6" ht="17">
      <c r="A1140" s="15">
        <f t="shared" ca="1" si="50"/>
        <v>865</v>
      </c>
      <c r="B1140" s="16">
        <f t="shared" ca="1" si="51"/>
        <v>0.54023029355744201</v>
      </c>
      <c r="C1140" s="17">
        <f>IF(AND(問題解答データベース!D1140&gt;=小テスト!$C$6,D1140&lt;=小テスト!$E$6),1,0)</f>
        <v>1</v>
      </c>
      <c r="D1140" s="44">
        <f t="shared" si="52"/>
        <v>1139</v>
      </c>
      <c r="E1140" s="45" t="s">
        <v>1303</v>
      </c>
      <c r="F1140" s="46" t="s">
        <v>3051</v>
      </c>
    </row>
    <row r="1141" spans="1:6" ht="17">
      <c r="A1141" s="15">
        <f t="shared" ca="1" si="50"/>
        <v>738</v>
      </c>
      <c r="B1141" s="16">
        <f t="shared" ca="1" si="51"/>
        <v>0.60622988301365477</v>
      </c>
      <c r="C1141" s="17">
        <f>IF(AND(問題解答データベース!D1141&gt;=小テスト!$C$6,D1141&lt;=小テスト!$E$6),1,0)</f>
        <v>1</v>
      </c>
      <c r="D1141" s="44">
        <f t="shared" si="52"/>
        <v>1140</v>
      </c>
      <c r="E1141" s="45" t="s">
        <v>1304</v>
      </c>
      <c r="F1141" s="46" t="s">
        <v>3052</v>
      </c>
    </row>
    <row r="1142" spans="1:6" ht="17">
      <c r="A1142" s="15">
        <f t="shared" ca="1" si="50"/>
        <v>663</v>
      </c>
      <c r="B1142" s="16">
        <f t="shared" ca="1" si="51"/>
        <v>0.6513110231177941</v>
      </c>
      <c r="C1142" s="17">
        <f>IF(AND(問題解答データベース!D1142&gt;=小テスト!$C$6,D1142&lt;=小テスト!$E$6),1,0)</f>
        <v>1</v>
      </c>
      <c r="D1142" s="44">
        <f t="shared" si="52"/>
        <v>1141</v>
      </c>
      <c r="E1142" s="45" t="s">
        <v>1305</v>
      </c>
      <c r="F1142" s="46" t="s">
        <v>3053</v>
      </c>
    </row>
    <row r="1143" spans="1:6" ht="17">
      <c r="A1143" s="15">
        <f t="shared" ca="1" si="50"/>
        <v>1011</v>
      </c>
      <c r="B1143" s="16">
        <f t="shared" ca="1" si="51"/>
        <v>0.47313952109417667</v>
      </c>
      <c r="C1143" s="17">
        <f>IF(AND(問題解答データベース!D1143&gt;=小テスト!$C$6,D1143&lt;=小テスト!$E$6),1,0)</f>
        <v>1</v>
      </c>
      <c r="D1143" s="44">
        <f t="shared" si="52"/>
        <v>1142</v>
      </c>
      <c r="E1143" s="45" t="s">
        <v>1306</v>
      </c>
      <c r="F1143" s="46" t="s">
        <v>3054</v>
      </c>
    </row>
    <row r="1144" spans="1:6" ht="17">
      <c r="A1144" s="15">
        <f t="shared" ca="1" si="50"/>
        <v>384</v>
      </c>
      <c r="B1144" s="16">
        <f t="shared" ca="1" si="51"/>
        <v>0.79337147965139787</v>
      </c>
      <c r="C1144" s="17">
        <f>IF(AND(問題解答データベース!D1144&gt;=小テスト!$C$6,D1144&lt;=小テスト!$E$6),1,0)</f>
        <v>1</v>
      </c>
      <c r="D1144" s="44">
        <f t="shared" si="52"/>
        <v>1143</v>
      </c>
      <c r="E1144" s="45" t="s">
        <v>1307</v>
      </c>
      <c r="F1144" s="46" t="s">
        <v>3055</v>
      </c>
    </row>
    <row r="1145" spans="1:6" ht="17">
      <c r="A1145" s="15">
        <f t="shared" ca="1" si="50"/>
        <v>1303</v>
      </c>
      <c r="B1145" s="16">
        <f t="shared" ca="1" si="51"/>
        <v>0.31955706579012966</v>
      </c>
      <c r="C1145" s="17">
        <f>IF(AND(問題解答データベース!D1145&gt;=小テスト!$C$6,D1145&lt;=小テスト!$E$6),1,0)</f>
        <v>1</v>
      </c>
      <c r="D1145" s="44">
        <f t="shared" si="52"/>
        <v>1144</v>
      </c>
      <c r="E1145" s="45" t="s">
        <v>1308</v>
      </c>
      <c r="F1145" s="46" t="s">
        <v>3056</v>
      </c>
    </row>
    <row r="1146" spans="1:6" ht="17">
      <c r="A1146" s="15">
        <f t="shared" ca="1" si="50"/>
        <v>1593</v>
      </c>
      <c r="B1146" s="16">
        <f t="shared" ca="1" si="51"/>
        <v>0.15984419845516573</v>
      </c>
      <c r="C1146" s="17">
        <f>IF(AND(問題解答データベース!D1146&gt;=小テスト!$C$6,D1146&lt;=小テスト!$E$6),1,0)</f>
        <v>1</v>
      </c>
      <c r="D1146" s="44">
        <f t="shared" si="52"/>
        <v>1145</v>
      </c>
      <c r="E1146" s="45" t="s">
        <v>1309</v>
      </c>
      <c r="F1146" s="46" t="s">
        <v>3057</v>
      </c>
    </row>
    <row r="1147" spans="1:6" ht="17">
      <c r="A1147" s="15">
        <f t="shared" ca="1" si="50"/>
        <v>971</v>
      </c>
      <c r="B1147" s="16">
        <f t="shared" ca="1" si="51"/>
        <v>0.4898241299261944</v>
      </c>
      <c r="C1147" s="17">
        <f>IF(AND(問題解答データベース!D1147&gt;=小テスト!$C$6,D1147&lt;=小テスト!$E$6),1,0)</f>
        <v>1</v>
      </c>
      <c r="D1147" s="44">
        <f t="shared" si="52"/>
        <v>1146</v>
      </c>
      <c r="E1147" s="45" t="s">
        <v>1310</v>
      </c>
      <c r="F1147" s="46" t="s">
        <v>3058</v>
      </c>
    </row>
    <row r="1148" spans="1:6" ht="17">
      <c r="A1148" s="15">
        <f t="shared" ca="1" si="50"/>
        <v>290</v>
      </c>
      <c r="B1148" s="16">
        <f t="shared" ca="1" si="51"/>
        <v>0.84999091875706556</v>
      </c>
      <c r="C1148" s="17">
        <f>IF(AND(問題解答データベース!D1148&gt;=小テスト!$C$6,D1148&lt;=小テスト!$E$6),1,0)</f>
        <v>1</v>
      </c>
      <c r="D1148" s="44">
        <f t="shared" si="52"/>
        <v>1147</v>
      </c>
      <c r="E1148" s="45" t="s">
        <v>1311</v>
      </c>
      <c r="F1148" s="46" t="s">
        <v>3059</v>
      </c>
    </row>
    <row r="1149" spans="1:6" ht="17">
      <c r="A1149" s="15">
        <f t="shared" ca="1" si="50"/>
        <v>837</v>
      </c>
      <c r="B1149" s="16">
        <f t="shared" ca="1" si="51"/>
        <v>0.55335525236801797</v>
      </c>
      <c r="C1149" s="17">
        <f>IF(AND(問題解答データベース!D1149&gt;=小テスト!$C$6,D1149&lt;=小テスト!$E$6),1,0)</f>
        <v>1</v>
      </c>
      <c r="D1149" s="44">
        <f t="shared" si="52"/>
        <v>1148</v>
      </c>
      <c r="E1149" s="45" t="s">
        <v>1312</v>
      </c>
      <c r="F1149" s="46" t="s">
        <v>3060</v>
      </c>
    </row>
    <row r="1150" spans="1:6" ht="17">
      <c r="A1150" s="15">
        <f t="shared" ca="1" si="50"/>
        <v>533</v>
      </c>
      <c r="B1150" s="16">
        <f t="shared" ca="1" si="51"/>
        <v>0.72430047957766441</v>
      </c>
      <c r="C1150" s="17">
        <f>IF(AND(問題解答データベース!D1150&gt;=小テスト!$C$6,D1150&lt;=小テスト!$E$6),1,0)</f>
        <v>1</v>
      </c>
      <c r="D1150" s="44">
        <f t="shared" si="52"/>
        <v>1149</v>
      </c>
      <c r="E1150" s="45" t="s">
        <v>1313</v>
      </c>
      <c r="F1150" s="46" t="s">
        <v>3061</v>
      </c>
    </row>
    <row r="1151" spans="1:6" ht="17">
      <c r="A1151" s="15">
        <f t="shared" ca="1" si="50"/>
        <v>639</v>
      </c>
      <c r="B1151" s="16">
        <f t="shared" ca="1" si="51"/>
        <v>0.66169082726352613</v>
      </c>
      <c r="C1151" s="17">
        <f>IF(AND(問題解答データベース!D1151&gt;=小テスト!$C$6,D1151&lt;=小テスト!$E$6),1,0)</f>
        <v>1</v>
      </c>
      <c r="D1151" s="44">
        <f t="shared" si="52"/>
        <v>1150</v>
      </c>
      <c r="E1151" s="45" t="s">
        <v>1314</v>
      </c>
      <c r="F1151" s="46" t="s">
        <v>3062</v>
      </c>
    </row>
    <row r="1152" spans="1:6" ht="17">
      <c r="A1152" s="15">
        <f t="shared" ca="1" si="50"/>
        <v>1358</v>
      </c>
      <c r="B1152" s="16">
        <f t="shared" ca="1" si="51"/>
        <v>0.28877394416981184</v>
      </c>
      <c r="C1152" s="17">
        <f>IF(AND(問題解答データベース!D1152&gt;=小テスト!$C$6,D1152&lt;=小テスト!$E$6),1,0)</f>
        <v>1</v>
      </c>
      <c r="D1152" s="44">
        <f t="shared" si="52"/>
        <v>1151</v>
      </c>
      <c r="E1152" s="45" t="s">
        <v>1315</v>
      </c>
      <c r="F1152" s="46" t="s">
        <v>3063</v>
      </c>
    </row>
    <row r="1153" spans="1:6" ht="17">
      <c r="A1153" s="15">
        <f t="shared" ca="1" si="50"/>
        <v>1350</v>
      </c>
      <c r="B1153" s="16">
        <f t="shared" ca="1" si="51"/>
        <v>0.29240570897227924</v>
      </c>
      <c r="C1153" s="17">
        <f>IF(AND(問題解答データベース!D1153&gt;=小テスト!$C$6,D1153&lt;=小テスト!$E$6),1,0)</f>
        <v>1</v>
      </c>
      <c r="D1153" s="44">
        <f t="shared" si="52"/>
        <v>1152</v>
      </c>
      <c r="E1153" s="45" t="s">
        <v>1316</v>
      </c>
      <c r="F1153" s="46" t="s">
        <v>3064</v>
      </c>
    </row>
    <row r="1154" spans="1:6" ht="17">
      <c r="A1154" s="15">
        <f t="shared" ca="1" si="50"/>
        <v>718</v>
      </c>
      <c r="B1154" s="16">
        <f t="shared" ca="1" si="51"/>
        <v>0.61953420886945842</v>
      </c>
      <c r="C1154" s="17">
        <f>IF(AND(問題解答データベース!D1154&gt;=小テスト!$C$6,D1154&lt;=小テスト!$E$6),1,0)</f>
        <v>1</v>
      </c>
      <c r="D1154" s="44">
        <f t="shared" si="52"/>
        <v>1153</v>
      </c>
      <c r="E1154" s="45" t="s">
        <v>1317</v>
      </c>
      <c r="F1154" s="46" t="s">
        <v>3065</v>
      </c>
    </row>
    <row r="1155" spans="1:6" ht="17">
      <c r="A1155" s="15">
        <f t="shared" ref="A1155:A1218" ca="1" si="53">RANK(B1155,$B$2:$B$1901,0)</f>
        <v>1809</v>
      </c>
      <c r="B1155" s="16">
        <f t="shared" ca="1" si="51"/>
        <v>4.3539833366548097E-2</v>
      </c>
      <c r="C1155" s="17">
        <f>IF(AND(問題解答データベース!D1155&gt;=小テスト!$C$6,D1155&lt;=小テスト!$E$6),1,0)</f>
        <v>1</v>
      </c>
      <c r="D1155" s="44">
        <f t="shared" si="52"/>
        <v>1154</v>
      </c>
      <c r="E1155" s="45" t="s">
        <v>1318</v>
      </c>
      <c r="F1155" s="46" t="s">
        <v>3066</v>
      </c>
    </row>
    <row r="1156" spans="1:6" ht="17">
      <c r="A1156" s="15">
        <f t="shared" ca="1" si="53"/>
        <v>241</v>
      </c>
      <c r="B1156" s="16">
        <f t="shared" ca="1" si="51"/>
        <v>0.87452658487839974</v>
      </c>
      <c r="C1156" s="17">
        <f>IF(AND(問題解答データベース!D1156&gt;=小テスト!$C$6,D1156&lt;=小テスト!$E$6),1,0)</f>
        <v>1</v>
      </c>
      <c r="D1156" s="44">
        <f t="shared" si="52"/>
        <v>1155</v>
      </c>
      <c r="E1156" s="45" t="s">
        <v>1319</v>
      </c>
      <c r="F1156" s="46" t="s">
        <v>3067</v>
      </c>
    </row>
    <row r="1157" spans="1:6" ht="17">
      <c r="A1157" s="15">
        <f t="shared" ca="1" si="53"/>
        <v>972</v>
      </c>
      <c r="B1157" s="16">
        <f t="shared" ca="1" si="51"/>
        <v>0.48968309033512691</v>
      </c>
      <c r="C1157" s="17">
        <f>IF(AND(問題解答データベース!D1157&gt;=小テスト!$C$6,D1157&lt;=小テスト!$E$6),1,0)</f>
        <v>1</v>
      </c>
      <c r="D1157" s="44">
        <f t="shared" si="52"/>
        <v>1156</v>
      </c>
      <c r="E1157" s="45" t="s">
        <v>1320</v>
      </c>
      <c r="F1157" s="46" t="s">
        <v>3068</v>
      </c>
    </row>
    <row r="1158" spans="1:6" ht="17">
      <c r="A1158" s="15">
        <f t="shared" ca="1" si="53"/>
        <v>1321</v>
      </c>
      <c r="B1158" s="16">
        <f t="shared" ca="1" si="51"/>
        <v>0.30731830651942793</v>
      </c>
      <c r="C1158" s="17">
        <f>IF(AND(問題解答データベース!D1158&gt;=小テスト!$C$6,D1158&lt;=小テスト!$E$6),1,0)</f>
        <v>1</v>
      </c>
      <c r="D1158" s="44">
        <f t="shared" si="52"/>
        <v>1157</v>
      </c>
      <c r="E1158" s="45" t="s">
        <v>1321</v>
      </c>
      <c r="F1158" s="46" t="s">
        <v>3069</v>
      </c>
    </row>
    <row r="1159" spans="1:6" ht="17">
      <c r="A1159" s="15">
        <f t="shared" ca="1" si="53"/>
        <v>316</v>
      </c>
      <c r="B1159" s="16">
        <f t="shared" ca="1" si="51"/>
        <v>0.83177598536080322</v>
      </c>
      <c r="C1159" s="17">
        <f>IF(AND(問題解答データベース!D1159&gt;=小テスト!$C$6,D1159&lt;=小テスト!$E$6),1,0)</f>
        <v>1</v>
      </c>
      <c r="D1159" s="44">
        <f t="shared" si="52"/>
        <v>1158</v>
      </c>
      <c r="E1159" s="45" t="s">
        <v>1322</v>
      </c>
      <c r="F1159" s="46" t="s">
        <v>3070</v>
      </c>
    </row>
    <row r="1160" spans="1:6" ht="17">
      <c r="A1160" s="15">
        <f t="shared" ca="1" si="53"/>
        <v>147</v>
      </c>
      <c r="B1160" s="16">
        <f t="shared" ca="1" si="51"/>
        <v>0.92563944786785479</v>
      </c>
      <c r="C1160" s="17">
        <f>IF(AND(問題解答データベース!D1160&gt;=小テスト!$C$6,D1160&lt;=小テスト!$E$6),1,0)</f>
        <v>1</v>
      </c>
      <c r="D1160" s="44">
        <f t="shared" si="52"/>
        <v>1159</v>
      </c>
      <c r="E1160" s="45" t="s">
        <v>1323</v>
      </c>
      <c r="F1160" s="46" t="s">
        <v>3071</v>
      </c>
    </row>
    <row r="1161" spans="1:6" ht="17">
      <c r="A1161" s="15">
        <f t="shared" ca="1" si="53"/>
        <v>1784</v>
      </c>
      <c r="B1161" s="16">
        <f t="shared" ca="1" si="51"/>
        <v>5.6253729923088747E-2</v>
      </c>
      <c r="C1161" s="17">
        <f>IF(AND(問題解答データベース!D1161&gt;=小テスト!$C$6,D1161&lt;=小テスト!$E$6),1,0)</f>
        <v>1</v>
      </c>
      <c r="D1161" s="44">
        <f t="shared" si="52"/>
        <v>1160</v>
      </c>
      <c r="E1161" s="45" t="s">
        <v>1324</v>
      </c>
      <c r="F1161" s="46" t="s">
        <v>3072</v>
      </c>
    </row>
    <row r="1162" spans="1:6" ht="17">
      <c r="A1162" s="15">
        <f t="shared" ca="1" si="53"/>
        <v>424</v>
      </c>
      <c r="B1162" s="16">
        <f t="shared" ref="B1162:B1225" ca="1" si="54">IF(C1162=1,RAND(),0)</f>
        <v>0.77398221983819449</v>
      </c>
      <c r="C1162" s="17">
        <f>IF(AND(問題解答データベース!D1162&gt;=小テスト!$C$6,D1162&lt;=小テスト!$E$6),1,0)</f>
        <v>1</v>
      </c>
      <c r="D1162" s="44">
        <f t="shared" si="52"/>
        <v>1161</v>
      </c>
      <c r="E1162" s="45" t="s">
        <v>1325</v>
      </c>
      <c r="F1162" s="46" t="s">
        <v>3073</v>
      </c>
    </row>
    <row r="1163" spans="1:6" ht="17">
      <c r="A1163" s="15">
        <f t="shared" ca="1" si="53"/>
        <v>1595</v>
      </c>
      <c r="B1163" s="16">
        <f t="shared" ca="1" si="54"/>
        <v>0.1586242440848864</v>
      </c>
      <c r="C1163" s="17">
        <f>IF(AND(問題解答データベース!D1163&gt;=小テスト!$C$6,D1163&lt;=小テスト!$E$6),1,0)</f>
        <v>1</v>
      </c>
      <c r="D1163" s="44">
        <f t="shared" si="52"/>
        <v>1162</v>
      </c>
      <c r="E1163" s="45" t="s">
        <v>1326</v>
      </c>
      <c r="F1163" s="46" t="s">
        <v>3074</v>
      </c>
    </row>
    <row r="1164" spans="1:6" ht="17">
      <c r="A1164" s="15">
        <f t="shared" ca="1" si="53"/>
        <v>672</v>
      </c>
      <c r="B1164" s="16">
        <f t="shared" ca="1" si="54"/>
        <v>0.64861316242358824</v>
      </c>
      <c r="C1164" s="17">
        <f>IF(AND(問題解答データベース!D1164&gt;=小テスト!$C$6,D1164&lt;=小テスト!$E$6),1,0)</f>
        <v>1</v>
      </c>
      <c r="D1164" s="44">
        <f t="shared" si="52"/>
        <v>1163</v>
      </c>
      <c r="E1164" s="45" t="s">
        <v>1327</v>
      </c>
      <c r="F1164" s="46" t="s">
        <v>3075</v>
      </c>
    </row>
    <row r="1165" spans="1:6" ht="17">
      <c r="A1165" s="15">
        <f t="shared" ca="1" si="53"/>
        <v>4</v>
      </c>
      <c r="B1165" s="16">
        <f t="shared" ca="1" si="54"/>
        <v>0.99810256282086773</v>
      </c>
      <c r="C1165" s="17">
        <f>IF(AND(問題解答データベース!D1165&gt;=小テスト!$C$6,D1165&lt;=小テスト!$E$6),1,0)</f>
        <v>1</v>
      </c>
      <c r="D1165" s="44">
        <f t="shared" si="52"/>
        <v>1164</v>
      </c>
      <c r="E1165" s="45" t="s">
        <v>1328</v>
      </c>
      <c r="F1165" s="46" t="s">
        <v>3076</v>
      </c>
    </row>
    <row r="1166" spans="1:6" ht="17">
      <c r="A1166" s="15">
        <f t="shared" ca="1" si="53"/>
        <v>614</v>
      </c>
      <c r="B1166" s="16">
        <f t="shared" ca="1" si="54"/>
        <v>0.67616999405471889</v>
      </c>
      <c r="C1166" s="17">
        <f>IF(AND(問題解答データベース!D1166&gt;=小テスト!$C$6,D1166&lt;=小テスト!$E$6),1,0)</f>
        <v>1</v>
      </c>
      <c r="D1166" s="44">
        <f t="shared" si="52"/>
        <v>1165</v>
      </c>
      <c r="E1166" s="45" t="s">
        <v>1329</v>
      </c>
      <c r="F1166" s="46" t="s">
        <v>3077</v>
      </c>
    </row>
    <row r="1167" spans="1:6" ht="17">
      <c r="A1167" s="15">
        <f t="shared" ca="1" si="53"/>
        <v>1702</v>
      </c>
      <c r="B1167" s="16">
        <f t="shared" ca="1" si="54"/>
        <v>9.936733501149686E-2</v>
      </c>
      <c r="C1167" s="17">
        <f>IF(AND(問題解答データベース!D1167&gt;=小テスト!$C$6,D1167&lt;=小テスト!$E$6),1,0)</f>
        <v>1</v>
      </c>
      <c r="D1167" s="44">
        <f t="shared" si="52"/>
        <v>1166</v>
      </c>
      <c r="E1167" s="45" t="s">
        <v>1330</v>
      </c>
      <c r="F1167" s="46" t="s">
        <v>3078</v>
      </c>
    </row>
    <row r="1168" spans="1:6" ht="17">
      <c r="A1168" s="15">
        <f t="shared" ca="1" si="53"/>
        <v>719</v>
      </c>
      <c r="B1168" s="16">
        <f t="shared" ca="1" si="54"/>
        <v>0.61881045522340472</v>
      </c>
      <c r="C1168" s="17">
        <f>IF(AND(問題解答データベース!D1168&gt;=小テスト!$C$6,D1168&lt;=小テスト!$E$6),1,0)</f>
        <v>1</v>
      </c>
      <c r="D1168" s="44">
        <f t="shared" si="52"/>
        <v>1167</v>
      </c>
      <c r="E1168" s="45" t="s">
        <v>1331</v>
      </c>
      <c r="F1168" s="46" t="s">
        <v>3079</v>
      </c>
    </row>
    <row r="1169" spans="1:6" ht="17">
      <c r="A1169" s="15">
        <f t="shared" ca="1" si="53"/>
        <v>1865</v>
      </c>
      <c r="B1169" s="16">
        <f t="shared" ca="1" si="54"/>
        <v>1.5519814461185555E-2</v>
      </c>
      <c r="C1169" s="17">
        <f>IF(AND(問題解答データベース!D1169&gt;=小テスト!$C$6,D1169&lt;=小テスト!$E$6),1,0)</f>
        <v>1</v>
      </c>
      <c r="D1169" s="44">
        <f t="shared" si="52"/>
        <v>1168</v>
      </c>
      <c r="E1169" s="45" t="s">
        <v>1332</v>
      </c>
      <c r="F1169" s="46" t="s">
        <v>3080</v>
      </c>
    </row>
    <row r="1170" spans="1:6" ht="17">
      <c r="A1170" s="15">
        <f t="shared" ca="1" si="53"/>
        <v>1101</v>
      </c>
      <c r="B1170" s="16">
        <f t="shared" ca="1" si="54"/>
        <v>0.4230284230824557</v>
      </c>
      <c r="C1170" s="17">
        <f>IF(AND(問題解答データベース!D1170&gt;=小テスト!$C$6,D1170&lt;=小テスト!$E$6),1,0)</f>
        <v>1</v>
      </c>
      <c r="D1170" s="44">
        <f t="shared" si="52"/>
        <v>1169</v>
      </c>
      <c r="E1170" s="45" t="s">
        <v>1333</v>
      </c>
      <c r="F1170" s="46" t="s">
        <v>3081</v>
      </c>
    </row>
    <row r="1171" spans="1:6" ht="17">
      <c r="A1171" s="15">
        <f t="shared" ca="1" si="53"/>
        <v>159</v>
      </c>
      <c r="B1171" s="16">
        <f t="shared" ca="1" si="54"/>
        <v>0.92217254232833679</v>
      </c>
      <c r="C1171" s="17">
        <f>IF(AND(問題解答データベース!D1171&gt;=小テスト!$C$6,D1171&lt;=小テスト!$E$6),1,0)</f>
        <v>1</v>
      </c>
      <c r="D1171" s="44">
        <f t="shared" si="52"/>
        <v>1170</v>
      </c>
      <c r="E1171" s="45" t="s">
        <v>1334</v>
      </c>
      <c r="F1171" s="46" t="s">
        <v>3082</v>
      </c>
    </row>
    <row r="1172" spans="1:6" ht="17">
      <c r="A1172" s="15">
        <f t="shared" ca="1" si="53"/>
        <v>1803</v>
      </c>
      <c r="B1172" s="16">
        <f t="shared" ca="1" si="54"/>
        <v>4.7084081681077583E-2</v>
      </c>
      <c r="C1172" s="17">
        <f>IF(AND(問題解答データベース!D1172&gt;=小テスト!$C$6,D1172&lt;=小テスト!$E$6),1,0)</f>
        <v>1</v>
      </c>
      <c r="D1172" s="44">
        <f t="shared" si="52"/>
        <v>1171</v>
      </c>
      <c r="E1172" s="45" t="s">
        <v>1335</v>
      </c>
      <c r="F1172" s="46" t="s">
        <v>3083</v>
      </c>
    </row>
    <row r="1173" spans="1:6" ht="17">
      <c r="A1173" s="15">
        <f t="shared" ca="1" si="53"/>
        <v>442</v>
      </c>
      <c r="B1173" s="16">
        <f t="shared" ca="1" si="54"/>
        <v>0.76707933383031657</v>
      </c>
      <c r="C1173" s="17">
        <f>IF(AND(問題解答データベース!D1173&gt;=小テスト!$C$6,D1173&lt;=小テスト!$E$6),1,0)</f>
        <v>1</v>
      </c>
      <c r="D1173" s="44">
        <f t="shared" si="52"/>
        <v>1172</v>
      </c>
      <c r="E1173" s="45" t="s">
        <v>1336</v>
      </c>
      <c r="F1173" s="46" t="s">
        <v>3084</v>
      </c>
    </row>
    <row r="1174" spans="1:6" ht="17">
      <c r="A1174" s="15">
        <f t="shared" ca="1" si="53"/>
        <v>130</v>
      </c>
      <c r="B1174" s="16">
        <f t="shared" ca="1" si="54"/>
        <v>0.93825059393314125</v>
      </c>
      <c r="C1174" s="17">
        <f>IF(AND(問題解答データベース!D1174&gt;=小テスト!$C$6,D1174&lt;=小テスト!$E$6),1,0)</f>
        <v>1</v>
      </c>
      <c r="D1174" s="44">
        <f t="shared" si="52"/>
        <v>1173</v>
      </c>
      <c r="E1174" s="45" t="s">
        <v>1337</v>
      </c>
      <c r="F1174" s="46" t="s">
        <v>3085</v>
      </c>
    </row>
    <row r="1175" spans="1:6" ht="17">
      <c r="A1175" s="15">
        <f t="shared" ca="1" si="53"/>
        <v>648</v>
      </c>
      <c r="B1175" s="16">
        <f t="shared" ca="1" si="54"/>
        <v>0.65877140054121497</v>
      </c>
      <c r="C1175" s="17">
        <f>IF(AND(問題解答データベース!D1175&gt;=小テスト!$C$6,D1175&lt;=小テスト!$E$6),1,0)</f>
        <v>1</v>
      </c>
      <c r="D1175" s="44">
        <f t="shared" si="52"/>
        <v>1174</v>
      </c>
      <c r="E1175" s="45" t="s">
        <v>1338</v>
      </c>
      <c r="F1175" s="46" t="s">
        <v>3086</v>
      </c>
    </row>
    <row r="1176" spans="1:6" ht="17">
      <c r="A1176" s="15">
        <f t="shared" ca="1" si="53"/>
        <v>1016</v>
      </c>
      <c r="B1176" s="16">
        <f t="shared" ca="1" si="54"/>
        <v>0.47172802168941852</v>
      </c>
      <c r="C1176" s="17">
        <f>IF(AND(問題解答データベース!D1176&gt;=小テスト!$C$6,D1176&lt;=小テスト!$E$6),1,0)</f>
        <v>1</v>
      </c>
      <c r="D1176" s="44">
        <f t="shared" si="52"/>
        <v>1175</v>
      </c>
      <c r="E1176" s="45" t="s">
        <v>1339</v>
      </c>
      <c r="F1176" s="46" t="s">
        <v>3087</v>
      </c>
    </row>
    <row r="1177" spans="1:6" ht="17">
      <c r="A1177" s="15">
        <f t="shared" ca="1" si="53"/>
        <v>952</v>
      </c>
      <c r="B1177" s="16">
        <f t="shared" ca="1" si="54"/>
        <v>0.49879225105620573</v>
      </c>
      <c r="C1177" s="17">
        <f>IF(AND(問題解答データベース!D1177&gt;=小テスト!$C$6,D1177&lt;=小テスト!$E$6),1,0)</f>
        <v>1</v>
      </c>
      <c r="D1177" s="44">
        <f t="shared" si="52"/>
        <v>1176</v>
      </c>
      <c r="E1177" s="45" t="s">
        <v>1340</v>
      </c>
      <c r="F1177" s="46" t="s">
        <v>3088</v>
      </c>
    </row>
    <row r="1178" spans="1:6" ht="17">
      <c r="A1178" s="15">
        <f t="shared" ca="1" si="53"/>
        <v>1555</v>
      </c>
      <c r="B1178" s="16">
        <f t="shared" ca="1" si="54"/>
        <v>0.17572092282588236</v>
      </c>
      <c r="C1178" s="17">
        <f>IF(AND(問題解答データベース!D1178&gt;=小テスト!$C$6,D1178&lt;=小テスト!$E$6),1,0)</f>
        <v>1</v>
      </c>
      <c r="D1178" s="44">
        <f t="shared" si="52"/>
        <v>1177</v>
      </c>
      <c r="E1178" s="45" t="s">
        <v>1341</v>
      </c>
      <c r="F1178" s="46" t="s">
        <v>3089</v>
      </c>
    </row>
    <row r="1179" spans="1:6" ht="17">
      <c r="A1179" s="15">
        <f t="shared" ca="1" si="53"/>
        <v>1470</v>
      </c>
      <c r="B1179" s="16">
        <f t="shared" ca="1" si="54"/>
        <v>0.22302096996096576</v>
      </c>
      <c r="C1179" s="17">
        <f>IF(AND(問題解答データベース!D1179&gt;=小テスト!$C$6,D1179&lt;=小テスト!$E$6),1,0)</f>
        <v>1</v>
      </c>
      <c r="D1179" s="44">
        <f t="shared" si="52"/>
        <v>1178</v>
      </c>
      <c r="E1179" s="45" t="s">
        <v>1342</v>
      </c>
      <c r="F1179" s="46" t="s">
        <v>3090</v>
      </c>
    </row>
    <row r="1180" spans="1:6" ht="17">
      <c r="A1180" s="15">
        <f t="shared" ca="1" si="53"/>
        <v>119</v>
      </c>
      <c r="B1180" s="16">
        <f t="shared" ca="1" si="54"/>
        <v>0.94242879453383388</v>
      </c>
      <c r="C1180" s="17">
        <f>IF(AND(問題解答データベース!D1180&gt;=小テスト!$C$6,D1180&lt;=小テスト!$E$6),1,0)</f>
        <v>1</v>
      </c>
      <c r="D1180" s="44">
        <f t="shared" ref="D1180:D1243" si="55">D1179+1</f>
        <v>1179</v>
      </c>
      <c r="E1180" s="45" t="s">
        <v>1343</v>
      </c>
      <c r="F1180" s="46" t="s">
        <v>3091</v>
      </c>
    </row>
    <row r="1181" spans="1:6" ht="17">
      <c r="A1181" s="15">
        <f t="shared" ca="1" si="53"/>
        <v>1835</v>
      </c>
      <c r="B1181" s="16">
        <f t="shared" ca="1" si="54"/>
        <v>3.1866430398135859E-2</v>
      </c>
      <c r="C1181" s="17">
        <f>IF(AND(問題解答データベース!D1181&gt;=小テスト!$C$6,D1181&lt;=小テスト!$E$6),1,0)</f>
        <v>1</v>
      </c>
      <c r="D1181" s="44">
        <f t="shared" si="55"/>
        <v>1180</v>
      </c>
      <c r="E1181" s="45" t="s">
        <v>1344</v>
      </c>
      <c r="F1181" s="46" t="s">
        <v>3092</v>
      </c>
    </row>
    <row r="1182" spans="1:6" ht="17">
      <c r="A1182" s="15">
        <f t="shared" ca="1" si="53"/>
        <v>352</v>
      </c>
      <c r="B1182" s="16">
        <f t="shared" ca="1" si="54"/>
        <v>0.8115716062298185</v>
      </c>
      <c r="C1182" s="17">
        <f>IF(AND(問題解答データベース!D1182&gt;=小テスト!$C$6,D1182&lt;=小テスト!$E$6),1,0)</f>
        <v>1</v>
      </c>
      <c r="D1182" s="44">
        <f t="shared" si="55"/>
        <v>1181</v>
      </c>
      <c r="E1182" s="45" t="s">
        <v>1345</v>
      </c>
      <c r="F1182" s="46" t="s">
        <v>3093</v>
      </c>
    </row>
    <row r="1183" spans="1:6" ht="17">
      <c r="A1183" s="15">
        <f t="shared" ca="1" si="53"/>
        <v>1514</v>
      </c>
      <c r="B1183" s="16">
        <f t="shared" ca="1" si="54"/>
        <v>0.19566912064319286</v>
      </c>
      <c r="C1183" s="17">
        <f>IF(AND(問題解答データベース!D1183&gt;=小テスト!$C$6,D1183&lt;=小テスト!$E$6),1,0)</f>
        <v>1</v>
      </c>
      <c r="D1183" s="44">
        <f t="shared" si="55"/>
        <v>1182</v>
      </c>
      <c r="E1183" s="45" t="s">
        <v>1346</v>
      </c>
      <c r="F1183" s="46" t="s">
        <v>3094</v>
      </c>
    </row>
    <row r="1184" spans="1:6" ht="17">
      <c r="A1184" s="15">
        <f t="shared" ca="1" si="53"/>
        <v>774</v>
      </c>
      <c r="B1184" s="16">
        <f t="shared" ca="1" si="54"/>
        <v>0.59150463805417086</v>
      </c>
      <c r="C1184" s="17">
        <f>IF(AND(問題解答データベース!D1184&gt;=小テスト!$C$6,D1184&lt;=小テスト!$E$6),1,0)</f>
        <v>1</v>
      </c>
      <c r="D1184" s="44">
        <f t="shared" si="55"/>
        <v>1183</v>
      </c>
      <c r="E1184" s="45" t="s">
        <v>1347</v>
      </c>
      <c r="F1184" s="46" t="s">
        <v>3095</v>
      </c>
    </row>
    <row r="1185" spans="1:6" ht="17">
      <c r="A1185" s="15">
        <f t="shared" ca="1" si="53"/>
        <v>969</v>
      </c>
      <c r="B1185" s="16">
        <f t="shared" ca="1" si="54"/>
        <v>0.49053965385197873</v>
      </c>
      <c r="C1185" s="17">
        <f>IF(AND(問題解答データベース!D1185&gt;=小テスト!$C$6,D1185&lt;=小テスト!$E$6),1,0)</f>
        <v>1</v>
      </c>
      <c r="D1185" s="44">
        <f t="shared" si="55"/>
        <v>1184</v>
      </c>
      <c r="E1185" s="45" t="s">
        <v>1348</v>
      </c>
      <c r="F1185" s="46" t="s">
        <v>3096</v>
      </c>
    </row>
    <row r="1186" spans="1:6" ht="17">
      <c r="A1186" s="15">
        <f t="shared" ca="1" si="53"/>
        <v>763</v>
      </c>
      <c r="B1186" s="16">
        <f t="shared" ca="1" si="54"/>
        <v>0.59731616113110708</v>
      </c>
      <c r="C1186" s="17">
        <f>IF(AND(問題解答データベース!D1186&gt;=小テスト!$C$6,D1186&lt;=小テスト!$E$6),1,0)</f>
        <v>1</v>
      </c>
      <c r="D1186" s="44">
        <f t="shared" si="55"/>
        <v>1185</v>
      </c>
      <c r="E1186" s="45" t="s">
        <v>1349</v>
      </c>
      <c r="F1186" s="46" t="s">
        <v>3097</v>
      </c>
    </row>
    <row r="1187" spans="1:6" ht="17">
      <c r="A1187" s="15">
        <f t="shared" ca="1" si="53"/>
        <v>1742</v>
      </c>
      <c r="B1187" s="16">
        <f t="shared" ca="1" si="54"/>
        <v>7.8627289608436013E-2</v>
      </c>
      <c r="C1187" s="17">
        <f>IF(AND(問題解答データベース!D1187&gt;=小テスト!$C$6,D1187&lt;=小テスト!$E$6),1,0)</f>
        <v>1</v>
      </c>
      <c r="D1187" s="44">
        <f t="shared" si="55"/>
        <v>1186</v>
      </c>
      <c r="E1187" s="45" t="s">
        <v>1350</v>
      </c>
      <c r="F1187" s="46" t="s">
        <v>3098</v>
      </c>
    </row>
    <row r="1188" spans="1:6" ht="17">
      <c r="A1188" s="15">
        <f t="shared" ca="1" si="53"/>
        <v>1521</v>
      </c>
      <c r="B1188" s="16">
        <f t="shared" ca="1" si="54"/>
        <v>0.19247713536688027</v>
      </c>
      <c r="C1188" s="17">
        <f>IF(AND(問題解答データベース!D1188&gt;=小テスト!$C$6,D1188&lt;=小テスト!$E$6),1,0)</f>
        <v>1</v>
      </c>
      <c r="D1188" s="44">
        <f t="shared" si="55"/>
        <v>1187</v>
      </c>
      <c r="E1188" s="45" t="s">
        <v>1351</v>
      </c>
      <c r="F1188" s="46" t="s">
        <v>3099</v>
      </c>
    </row>
    <row r="1189" spans="1:6" ht="17">
      <c r="A1189" s="15">
        <f t="shared" ca="1" si="53"/>
        <v>1283</v>
      </c>
      <c r="B1189" s="16">
        <f t="shared" ca="1" si="54"/>
        <v>0.32966742957265194</v>
      </c>
      <c r="C1189" s="17">
        <f>IF(AND(問題解答データベース!D1189&gt;=小テスト!$C$6,D1189&lt;=小テスト!$E$6),1,0)</f>
        <v>1</v>
      </c>
      <c r="D1189" s="44">
        <f t="shared" si="55"/>
        <v>1188</v>
      </c>
      <c r="E1189" s="45" t="s">
        <v>1352</v>
      </c>
      <c r="F1189" s="46" t="s">
        <v>3100</v>
      </c>
    </row>
    <row r="1190" spans="1:6" ht="17">
      <c r="A1190" s="15">
        <f t="shared" ca="1" si="53"/>
        <v>450</v>
      </c>
      <c r="B1190" s="16">
        <f t="shared" ca="1" si="54"/>
        <v>0.76557029428339429</v>
      </c>
      <c r="C1190" s="17">
        <f>IF(AND(問題解答データベース!D1190&gt;=小テスト!$C$6,D1190&lt;=小テスト!$E$6),1,0)</f>
        <v>1</v>
      </c>
      <c r="D1190" s="44">
        <f t="shared" si="55"/>
        <v>1189</v>
      </c>
      <c r="E1190" s="45" t="s">
        <v>1353</v>
      </c>
      <c r="F1190" s="46" t="s">
        <v>3101</v>
      </c>
    </row>
    <row r="1191" spans="1:6" ht="17">
      <c r="A1191" s="15">
        <f t="shared" ca="1" si="53"/>
        <v>111</v>
      </c>
      <c r="B1191" s="16">
        <f t="shared" ca="1" si="54"/>
        <v>0.94851519802197515</v>
      </c>
      <c r="C1191" s="17">
        <f>IF(AND(問題解答データベース!D1191&gt;=小テスト!$C$6,D1191&lt;=小テスト!$E$6),1,0)</f>
        <v>1</v>
      </c>
      <c r="D1191" s="44">
        <f t="shared" si="55"/>
        <v>1190</v>
      </c>
      <c r="E1191" s="45" t="s">
        <v>1354</v>
      </c>
      <c r="F1191" s="46" t="s">
        <v>3102</v>
      </c>
    </row>
    <row r="1192" spans="1:6" ht="17">
      <c r="A1192" s="15">
        <f t="shared" ca="1" si="53"/>
        <v>1474</v>
      </c>
      <c r="B1192" s="16">
        <f t="shared" ca="1" si="54"/>
        <v>0.22118279960369802</v>
      </c>
      <c r="C1192" s="17">
        <f>IF(AND(問題解答データベース!D1192&gt;=小テスト!$C$6,D1192&lt;=小テスト!$E$6),1,0)</f>
        <v>1</v>
      </c>
      <c r="D1192" s="44">
        <f t="shared" si="55"/>
        <v>1191</v>
      </c>
      <c r="E1192" s="45" t="s">
        <v>1355</v>
      </c>
      <c r="F1192" s="46" t="s">
        <v>3103</v>
      </c>
    </row>
    <row r="1193" spans="1:6" ht="17">
      <c r="A1193" s="15">
        <f t="shared" ca="1" si="53"/>
        <v>359</v>
      </c>
      <c r="B1193" s="16">
        <f t="shared" ca="1" si="54"/>
        <v>0.80755322476285063</v>
      </c>
      <c r="C1193" s="17">
        <f>IF(AND(問題解答データベース!D1193&gt;=小テスト!$C$6,D1193&lt;=小テスト!$E$6),1,0)</f>
        <v>1</v>
      </c>
      <c r="D1193" s="44">
        <f t="shared" si="55"/>
        <v>1192</v>
      </c>
      <c r="E1193" s="45" t="s">
        <v>1356</v>
      </c>
      <c r="F1193" s="46" t="s">
        <v>3104</v>
      </c>
    </row>
    <row r="1194" spans="1:6" ht="17">
      <c r="A1194" s="15">
        <f t="shared" ca="1" si="53"/>
        <v>966</v>
      </c>
      <c r="B1194" s="16">
        <f t="shared" ca="1" si="54"/>
        <v>0.49159435532367723</v>
      </c>
      <c r="C1194" s="17">
        <f>IF(AND(問題解答データベース!D1194&gt;=小テスト!$C$6,D1194&lt;=小テスト!$E$6),1,0)</f>
        <v>1</v>
      </c>
      <c r="D1194" s="44">
        <f t="shared" si="55"/>
        <v>1193</v>
      </c>
      <c r="E1194" s="45" t="s">
        <v>1357</v>
      </c>
      <c r="F1194" s="46" t="s">
        <v>3105</v>
      </c>
    </row>
    <row r="1195" spans="1:6" ht="17">
      <c r="A1195" s="15">
        <f t="shared" ca="1" si="53"/>
        <v>873</v>
      </c>
      <c r="B1195" s="16">
        <f t="shared" ca="1" si="54"/>
        <v>0.53544909275723773</v>
      </c>
      <c r="C1195" s="17">
        <f>IF(AND(問題解答データベース!D1195&gt;=小テスト!$C$6,D1195&lt;=小テスト!$E$6),1,0)</f>
        <v>1</v>
      </c>
      <c r="D1195" s="44">
        <f t="shared" si="55"/>
        <v>1194</v>
      </c>
      <c r="E1195" s="45" t="s">
        <v>1358</v>
      </c>
      <c r="F1195" s="46" t="s">
        <v>3106</v>
      </c>
    </row>
    <row r="1196" spans="1:6" ht="17">
      <c r="A1196" s="15">
        <f t="shared" ca="1" si="53"/>
        <v>1540</v>
      </c>
      <c r="B1196" s="16">
        <f t="shared" ca="1" si="54"/>
        <v>0.18442331322429495</v>
      </c>
      <c r="C1196" s="17">
        <f>IF(AND(問題解答データベース!D1196&gt;=小テスト!$C$6,D1196&lt;=小テスト!$E$6),1,0)</f>
        <v>1</v>
      </c>
      <c r="D1196" s="44">
        <f t="shared" si="55"/>
        <v>1195</v>
      </c>
      <c r="E1196" s="45" t="s">
        <v>1359</v>
      </c>
      <c r="F1196" s="46" t="s">
        <v>3107</v>
      </c>
    </row>
    <row r="1197" spans="1:6" ht="17">
      <c r="A1197" s="15">
        <f t="shared" ca="1" si="53"/>
        <v>1576</v>
      </c>
      <c r="B1197" s="16">
        <f t="shared" ca="1" si="54"/>
        <v>0.16642340507615472</v>
      </c>
      <c r="C1197" s="17">
        <f>IF(AND(問題解答データベース!D1197&gt;=小テスト!$C$6,D1197&lt;=小テスト!$E$6),1,0)</f>
        <v>1</v>
      </c>
      <c r="D1197" s="44">
        <f t="shared" si="55"/>
        <v>1196</v>
      </c>
      <c r="E1197" s="45" t="s">
        <v>1360</v>
      </c>
      <c r="F1197" s="46" t="s">
        <v>3108</v>
      </c>
    </row>
    <row r="1198" spans="1:6" ht="17">
      <c r="A1198" s="15">
        <f t="shared" ca="1" si="53"/>
        <v>1112</v>
      </c>
      <c r="B1198" s="16">
        <f t="shared" ca="1" si="54"/>
        <v>0.41668568642961246</v>
      </c>
      <c r="C1198" s="17">
        <f>IF(AND(問題解答データベース!D1198&gt;=小テスト!$C$6,D1198&lt;=小テスト!$E$6),1,0)</f>
        <v>1</v>
      </c>
      <c r="D1198" s="44">
        <f t="shared" si="55"/>
        <v>1197</v>
      </c>
      <c r="E1198" s="45" t="s">
        <v>1361</v>
      </c>
      <c r="F1198" s="46" t="s">
        <v>3109</v>
      </c>
    </row>
    <row r="1199" spans="1:6" ht="17">
      <c r="A1199" s="15">
        <f t="shared" ca="1" si="53"/>
        <v>413</v>
      </c>
      <c r="B1199" s="16">
        <f t="shared" ca="1" si="54"/>
        <v>0.78190148226453449</v>
      </c>
      <c r="C1199" s="17">
        <f>IF(AND(問題解答データベース!D1199&gt;=小テスト!$C$6,D1199&lt;=小テスト!$E$6),1,0)</f>
        <v>1</v>
      </c>
      <c r="D1199" s="44">
        <f t="shared" si="55"/>
        <v>1198</v>
      </c>
      <c r="E1199" s="45" t="s">
        <v>1362</v>
      </c>
      <c r="F1199" s="46" t="s">
        <v>3110</v>
      </c>
    </row>
    <row r="1200" spans="1:6" ht="17">
      <c r="A1200" s="15">
        <f t="shared" ca="1" si="53"/>
        <v>682</v>
      </c>
      <c r="B1200" s="16">
        <f t="shared" ca="1" si="54"/>
        <v>0.63924175905000857</v>
      </c>
      <c r="C1200" s="17">
        <f>IF(AND(問題解答データベース!D1200&gt;=小テスト!$C$6,D1200&lt;=小テスト!$E$6),1,0)</f>
        <v>1</v>
      </c>
      <c r="D1200" s="44">
        <f t="shared" si="55"/>
        <v>1199</v>
      </c>
      <c r="E1200" s="45" t="s">
        <v>1363</v>
      </c>
      <c r="F1200" s="46" t="s">
        <v>3111</v>
      </c>
    </row>
    <row r="1201" spans="1:6" ht="17">
      <c r="A1201" s="15">
        <f t="shared" ca="1" si="53"/>
        <v>88</v>
      </c>
      <c r="B1201" s="16">
        <f t="shared" ca="1" si="54"/>
        <v>0.95792076668551474</v>
      </c>
      <c r="C1201" s="17">
        <f>IF(AND(問題解答データベース!D1201&gt;=小テスト!$C$6,D1201&lt;=小テスト!$E$6),1,0)</f>
        <v>1</v>
      </c>
      <c r="D1201" s="44">
        <f t="shared" si="55"/>
        <v>1200</v>
      </c>
      <c r="E1201" s="45" t="s">
        <v>1364</v>
      </c>
      <c r="F1201" s="46" t="s">
        <v>3112</v>
      </c>
    </row>
    <row r="1202" spans="1:6" ht="17">
      <c r="A1202" s="15">
        <f t="shared" ca="1" si="53"/>
        <v>1652</v>
      </c>
      <c r="B1202" s="16">
        <f t="shared" ca="1" si="54"/>
        <v>0.12657621473126335</v>
      </c>
      <c r="C1202" s="17">
        <f>IF(AND(問題解答データベース!D1202&gt;=小テスト!$C$6,D1202&lt;=小テスト!$E$6),1,0)</f>
        <v>1</v>
      </c>
      <c r="D1202" s="44">
        <f t="shared" si="55"/>
        <v>1201</v>
      </c>
      <c r="E1202" s="45" t="s">
        <v>1365</v>
      </c>
      <c r="F1202" s="46" t="s">
        <v>3113</v>
      </c>
    </row>
    <row r="1203" spans="1:6" ht="17">
      <c r="A1203" s="15">
        <f t="shared" ca="1" si="53"/>
        <v>825</v>
      </c>
      <c r="B1203" s="16">
        <f t="shared" ca="1" si="54"/>
        <v>0.5608889913877434</v>
      </c>
      <c r="C1203" s="17">
        <f>IF(AND(問題解答データベース!D1203&gt;=小テスト!$C$6,D1203&lt;=小テスト!$E$6),1,0)</f>
        <v>1</v>
      </c>
      <c r="D1203" s="44">
        <f t="shared" si="55"/>
        <v>1202</v>
      </c>
      <c r="E1203" s="45" t="s">
        <v>1366</v>
      </c>
      <c r="F1203" s="46" t="s">
        <v>3114</v>
      </c>
    </row>
    <row r="1204" spans="1:6" ht="17">
      <c r="A1204" s="15">
        <f t="shared" ca="1" si="53"/>
        <v>524</v>
      </c>
      <c r="B1204" s="16">
        <f t="shared" ca="1" si="54"/>
        <v>0.72909705808415592</v>
      </c>
      <c r="C1204" s="17">
        <f>IF(AND(問題解答データベース!D1204&gt;=小テスト!$C$6,D1204&lt;=小テスト!$E$6),1,0)</f>
        <v>1</v>
      </c>
      <c r="D1204" s="44">
        <f t="shared" si="55"/>
        <v>1203</v>
      </c>
      <c r="E1204" s="45" t="s">
        <v>1367</v>
      </c>
      <c r="F1204" s="46" t="s">
        <v>3115</v>
      </c>
    </row>
    <row r="1205" spans="1:6" ht="17">
      <c r="A1205" s="15">
        <f t="shared" ca="1" si="53"/>
        <v>1795</v>
      </c>
      <c r="B1205" s="16">
        <f t="shared" ca="1" si="54"/>
        <v>5.0765215338347991E-2</v>
      </c>
      <c r="C1205" s="17">
        <f>IF(AND(問題解答データベース!D1205&gt;=小テスト!$C$6,D1205&lt;=小テスト!$E$6),1,0)</f>
        <v>1</v>
      </c>
      <c r="D1205" s="44">
        <f t="shared" si="55"/>
        <v>1204</v>
      </c>
      <c r="E1205" s="45" t="s">
        <v>1368</v>
      </c>
      <c r="F1205" s="46" t="s">
        <v>3116</v>
      </c>
    </row>
    <row r="1206" spans="1:6" ht="17">
      <c r="A1206" s="15">
        <f t="shared" ca="1" si="53"/>
        <v>1344</v>
      </c>
      <c r="B1206" s="16">
        <f t="shared" ca="1" si="54"/>
        <v>0.29631095672917074</v>
      </c>
      <c r="C1206" s="17">
        <f>IF(AND(問題解答データベース!D1206&gt;=小テスト!$C$6,D1206&lt;=小テスト!$E$6),1,0)</f>
        <v>1</v>
      </c>
      <c r="D1206" s="44">
        <f t="shared" si="55"/>
        <v>1205</v>
      </c>
      <c r="E1206" s="45" t="s">
        <v>1369</v>
      </c>
      <c r="F1206" s="46" t="s">
        <v>3117</v>
      </c>
    </row>
    <row r="1207" spans="1:6" ht="17">
      <c r="A1207" s="15">
        <f t="shared" ca="1" si="53"/>
        <v>52</v>
      </c>
      <c r="B1207" s="16">
        <f t="shared" ca="1" si="54"/>
        <v>0.97183160535717728</v>
      </c>
      <c r="C1207" s="17">
        <f>IF(AND(問題解答データベース!D1207&gt;=小テスト!$C$6,D1207&lt;=小テスト!$E$6),1,0)</f>
        <v>1</v>
      </c>
      <c r="D1207" s="44">
        <f t="shared" si="55"/>
        <v>1206</v>
      </c>
      <c r="E1207" s="45" t="s">
        <v>1370</v>
      </c>
      <c r="F1207" s="46" t="s">
        <v>3118</v>
      </c>
    </row>
    <row r="1208" spans="1:6" ht="17">
      <c r="A1208" s="15">
        <f t="shared" ca="1" si="53"/>
        <v>1520</v>
      </c>
      <c r="B1208" s="16">
        <f t="shared" ca="1" si="54"/>
        <v>0.19278289941164328</v>
      </c>
      <c r="C1208" s="17">
        <f>IF(AND(問題解答データベース!D1208&gt;=小テスト!$C$6,D1208&lt;=小テスト!$E$6),1,0)</f>
        <v>1</v>
      </c>
      <c r="D1208" s="44">
        <f t="shared" si="55"/>
        <v>1207</v>
      </c>
      <c r="E1208" s="45" t="s">
        <v>1371</v>
      </c>
      <c r="F1208" s="46" t="s">
        <v>3119</v>
      </c>
    </row>
    <row r="1209" spans="1:6" ht="17">
      <c r="A1209" s="15">
        <f t="shared" ca="1" si="53"/>
        <v>379</v>
      </c>
      <c r="B1209" s="16">
        <f t="shared" ca="1" si="54"/>
        <v>0.79681208280321658</v>
      </c>
      <c r="C1209" s="17">
        <f>IF(AND(問題解答データベース!D1209&gt;=小テスト!$C$6,D1209&lt;=小テスト!$E$6),1,0)</f>
        <v>1</v>
      </c>
      <c r="D1209" s="44">
        <f t="shared" si="55"/>
        <v>1208</v>
      </c>
      <c r="E1209" s="45" t="s">
        <v>1372</v>
      </c>
      <c r="F1209" s="46" t="s">
        <v>3120</v>
      </c>
    </row>
    <row r="1210" spans="1:6" ht="17">
      <c r="A1210" s="15">
        <f t="shared" ca="1" si="53"/>
        <v>819</v>
      </c>
      <c r="B1210" s="16">
        <f t="shared" ca="1" si="54"/>
        <v>0.5644080128493445</v>
      </c>
      <c r="C1210" s="17">
        <f>IF(AND(問題解答データベース!D1210&gt;=小テスト!$C$6,D1210&lt;=小テスト!$E$6),1,0)</f>
        <v>1</v>
      </c>
      <c r="D1210" s="44">
        <f t="shared" si="55"/>
        <v>1209</v>
      </c>
      <c r="E1210" s="45" t="s">
        <v>1373</v>
      </c>
      <c r="F1210" s="46" t="s">
        <v>3121</v>
      </c>
    </row>
    <row r="1211" spans="1:6" ht="17">
      <c r="A1211" s="15">
        <f t="shared" ca="1" si="53"/>
        <v>497</v>
      </c>
      <c r="B1211" s="16">
        <f t="shared" ca="1" si="54"/>
        <v>0.74088084302465862</v>
      </c>
      <c r="C1211" s="17">
        <f>IF(AND(問題解答データベース!D1211&gt;=小テスト!$C$6,D1211&lt;=小テスト!$E$6),1,0)</f>
        <v>1</v>
      </c>
      <c r="D1211" s="44">
        <f t="shared" si="55"/>
        <v>1210</v>
      </c>
      <c r="E1211" s="45" t="s">
        <v>1374</v>
      </c>
      <c r="F1211" s="46" t="s">
        <v>3122</v>
      </c>
    </row>
    <row r="1212" spans="1:6" ht="17">
      <c r="A1212" s="15">
        <f t="shared" ca="1" si="53"/>
        <v>1107</v>
      </c>
      <c r="B1212" s="16">
        <f t="shared" ca="1" si="54"/>
        <v>0.41999760905871264</v>
      </c>
      <c r="C1212" s="17">
        <f>IF(AND(問題解答データベース!D1212&gt;=小テスト!$C$6,D1212&lt;=小テスト!$E$6),1,0)</f>
        <v>1</v>
      </c>
      <c r="D1212" s="44">
        <f t="shared" si="55"/>
        <v>1211</v>
      </c>
      <c r="E1212" s="45" t="s">
        <v>1375</v>
      </c>
      <c r="F1212" s="46" t="s">
        <v>3123</v>
      </c>
    </row>
    <row r="1213" spans="1:6" ht="17">
      <c r="A1213" s="15">
        <f t="shared" ca="1" si="53"/>
        <v>1391</v>
      </c>
      <c r="B1213" s="16">
        <f t="shared" ca="1" si="54"/>
        <v>0.269107427504648</v>
      </c>
      <c r="C1213" s="17">
        <f>IF(AND(問題解答データベース!D1213&gt;=小テスト!$C$6,D1213&lt;=小テスト!$E$6),1,0)</f>
        <v>1</v>
      </c>
      <c r="D1213" s="44">
        <f t="shared" si="55"/>
        <v>1212</v>
      </c>
      <c r="E1213" s="45" t="s">
        <v>1376</v>
      </c>
      <c r="F1213" s="46" t="s">
        <v>3124</v>
      </c>
    </row>
    <row r="1214" spans="1:6" ht="17">
      <c r="A1214" s="15">
        <f t="shared" ca="1" si="53"/>
        <v>1476</v>
      </c>
      <c r="B1214" s="16">
        <f t="shared" ca="1" si="54"/>
        <v>0.21965516831024767</v>
      </c>
      <c r="C1214" s="17">
        <f>IF(AND(問題解答データベース!D1214&gt;=小テスト!$C$6,D1214&lt;=小テスト!$E$6),1,0)</f>
        <v>1</v>
      </c>
      <c r="D1214" s="44">
        <f t="shared" si="55"/>
        <v>1213</v>
      </c>
      <c r="E1214" s="45" t="s">
        <v>1377</v>
      </c>
      <c r="F1214" s="46" t="s">
        <v>3125</v>
      </c>
    </row>
    <row r="1215" spans="1:6" ht="17">
      <c r="A1215" s="15">
        <f t="shared" ca="1" si="53"/>
        <v>1672</v>
      </c>
      <c r="B1215" s="16">
        <f t="shared" ca="1" si="54"/>
        <v>0.11481446695820496</v>
      </c>
      <c r="C1215" s="17">
        <f>IF(AND(問題解答データベース!D1215&gt;=小テスト!$C$6,D1215&lt;=小テスト!$E$6),1,0)</f>
        <v>1</v>
      </c>
      <c r="D1215" s="44">
        <f t="shared" si="55"/>
        <v>1214</v>
      </c>
      <c r="E1215" s="45" t="s">
        <v>1378</v>
      </c>
      <c r="F1215" s="46" t="s">
        <v>3126</v>
      </c>
    </row>
    <row r="1216" spans="1:6" ht="17">
      <c r="A1216" s="15">
        <f t="shared" ca="1" si="53"/>
        <v>1486</v>
      </c>
      <c r="B1216" s="16">
        <f t="shared" ca="1" si="54"/>
        <v>0.2112596709495308</v>
      </c>
      <c r="C1216" s="17">
        <f>IF(AND(問題解答データベース!D1216&gt;=小テスト!$C$6,D1216&lt;=小テスト!$E$6),1,0)</f>
        <v>1</v>
      </c>
      <c r="D1216" s="44">
        <f t="shared" si="55"/>
        <v>1215</v>
      </c>
      <c r="E1216" s="45" t="s">
        <v>1379</v>
      </c>
      <c r="F1216" s="46" t="s">
        <v>3127</v>
      </c>
    </row>
    <row r="1217" spans="1:6" ht="17">
      <c r="A1217" s="15">
        <f t="shared" ca="1" si="53"/>
        <v>480</v>
      </c>
      <c r="B1217" s="16">
        <f t="shared" ca="1" si="54"/>
        <v>0.75332241925828203</v>
      </c>
      <c r="C1217" s="17">
        <f>IF(AND(問題解答データベース!D1217&gt;=小テスト!$C$6,D1217&lt;=小テスト!$E$6),1,0)</f>
        <v>1</v>
      </c>
      <c r="D1217" s="44">
        <f t="shared" si="55"/>
        <v>1216</v>
      </c>
      <c r="E1217" s="45" t="s">
        <v>1380</v>
      </c>
      <c r="F1217" s="46" t="s">
        <v>3128</v>
      </c>
    </row>
    <row r="1218" spans="1:6" ht="17">
      <c r="A1218" s="15">
        <f t="shared" ca="1" si="53"/>
        <v>609</v>
      </c>
      <c r="B1218" s="16">
        <f t="shared" ca="1" si="54"/>
        <v>0.67747873260289693</v>
      </c>
      <c r="C1218" s="17">
        <f>IF(AND(問題解答データベース!D1218&gt;=小テスト!$C$6,D1218&lt;=小テスト!$E$6),1,0)</f>
        <v>1</v>
      </c>
      <c r="D1218" s="44">
        <f t="shared" si="55"/>
        <v>1217</v>
      </c>
      <c r="E1218" s="45" t="s">
        <v>1381</v>
      </c>
      <c r="F1218" s="46" t="s">
        <v>3129</v>
      </c>
    </row>
    <row r="1219" spans="1:6" ht="17">
      <c r="A1219" s="15">
        <f t="shared" ref="A1219:A1282" ca="1" si="56">RANK(B1219,$B$2:$B$1901,0)</f>
        <v>1018</v>
      </c>
      <c r="B1219" s="16">
        <f t="shared" ca="1" si="54"/>
        <v>0.47142338878669532</v>
      </c>
      <c r="C1219" s="17">
        <f>IF(AND(問題解答データベース!D1219&gt;=小テスト!$C$6,D1219&lt;=小テスト!$E$6),1,0)</f>
        <v>1</v>
      </c>
      <c r="D1219" s="44">
        <f t="shared" si="55"/>
        <v>1218</v>
      </c>
      <c r="E1219" s="45" t="s">
        <v>1382</v>
      </c>
      <c r="F1219" s="46" t="s">
        <v>3130</v>
      </c>
    </row>
    <row r="1220" spans="1:6" ht="17">
      <c r="A1220" s="15">
        <f t="shared" ca="1" si="56"/>
        <v>373</v>
      </c>
      <c r="B1220" s="16">
        <f t="shared" ca="1" si="54"/>
        <v>0.80000671043673977</v>
      </c>
      <c r="C1220" s="17">
        <f>IF(AND(問題解答データベース!D1220&gt;=小テスト!$C$6,D1220&lt;=小テスト!$E$6),1,0)</f>
        <v>1</v>
      </c>
      <c r="D1220" s="44">
        <f t="shared" si="55"/>
        <v>1219</v>
      </c>
      <c r="E1220" s="45" t="s">
        <v>1383</v>
      </c>
      <c r="F1220" s="46" t="s">
        <v>3131</v>
      </c>
    </row>
    <row r="1221" spans="1:6" ht="17">
      <c r="A1221" s="15">
        <f t="shared" ca="1" si="56"/>
        <v>302</v>
      </c>
      <c r="B1221" s="16">
        <f t="shared" ca="1" si="54"/>
        <v>0.84505494045360774</v>
      </c>
      <c r="C1221" s="17">
        <f>IF(AND(問題解答データベース!D1221&gt;=小テスト!$C$6,D1221&lt;=小テスト!$E$6),1,0)</f>
        <v>1</v>
      </c>
      <c r="D1221" s="44">
        <f t="shared" si="55"/>
        <v>1220</v>
      </c>
      <c r="E1221" s="45" t="s">
        <v>1384</v>
      </c>
      <c r="F1221" s="46" t="s">
        <v>3132</v>
      </c>
    </row>
    <row r="1222" spans="1:6" ht="17">
      <c r="A1222" s="15">
        <f t="shared" ca="1" si="56"/>
        <v>1425</v>
      </c>
      <c r="B1222" s="16">
        <f t="shared" ca="1" si="54"/>
        <v>0.25078945208696146</v>
      </c>
      <c r="C1222" s="17">
        <f>IF(AND(問題解答データベース!D1222&gt;=小テスト!$C$6,D1222&lt;=小テスト!$E$6),1,0)</f>
        <v>1</v>
      </c>
      <c r="D1222" s="44">
        <f t="shared" si="55"/>
        <v>1221</v>
      </c>
      <c r="E1222" s="45" t="s">
        <v>1385</v>
      </c>
      <c r="F1222" s="46" t="s">
        <v>3133</v>
      </c>
    </row>
    <row r="1223" spans="1:6" ht="17">
      <c r="A1223" s="15">
        <f t="shared" ca="1" si="56"/>
        <v>1492</v>
      </c>
      <c r="B1223" s="16">
        <f t="shared" ca="1" si="54"/>
        <v>0.20563022736966174</v>
      </c>
      <c r="C1223" s="17">
        <f>IF(AND(問題解答データベース!D1223&gt;=小テスト!$C$6,D1223&lt;=小テスト!$E$6),1,0)</f>
        <v>1</v>
      </c>
      <c r="D1223" s="44">
        <f t="shared" si="55"/>
        <v>1222</v>
      </c>
      <c r="E1223" s="45" t="s">
        <v>1386</v>
      </c>
      <c r="F1223" s="46" t="s">
        <v>3134</v>
      </c>
    </row>
    <row r="1224" spans="1:6" ht="17">
      <c r="A1224" s="15">
        <f t="shared" ca="1" si="56"/>
        <v>1736</v>
      </c>
      <c r="B1224" s="16">
        <f t="shared" ca="1" si="54"/>
        <v>8.0551370613895168E-2</v>
      </c>
      <c r="C1224" s="17">
        <f>IF(AND(問題解答データベース!D1224&gt;=小テスト!$C$6,D1224&lt;=小テスト!$E$6),1,0)</f>
        <v>1</v>
      </c>
      <c r="D1224" s="44">
        <f t="shared" si="55"/>
        <v>1223</v>
      </c>
      <c r="E1224" s="45" t="s">
        <v>1387</v>
      </c>
      <c r="F1224" s="46" t="s">
        <v>3135</v>
      </c>
    </row>
    <row r="1225" spans="1:6" ht="17">
      <c r="A1225" s="15">
        <f t="shared" ca="1" si="56"/>
        <v>470</v>
      </c>
      <c r="B1225" s="16">
        <f t="shared" ca="1" si="54"/>
        <v>0.75774906538287079</v>
      </c>
      <c r="C1225" s="17">
        <f>IF(AND(問題解答データベース!D1225&gt;=小テスト!$C$6,D1225&lt;=小テスト!$E$6),1,0)</f>
        <v>1</v>
      </c>
      <c r="D1225" s="44">
        <f t="shared" si="55"/>
        <v>1224</v>
      </c>
      <c r="E1225" s="45" t="s">
        <v>1388</v>
      </c>
      <c r="F1225" s="46" t="s">
        <v>3136</v>
      </c>
    </row>
    <row r="1226" spans="1:6" ht="17">
      <c r="A1226" s="15">
        <f t="shared" ca="1" si="56"/>
        <v>1289</v>
      </c>
      <c r="B1226" s="16">
        <f t="shared" ref="B1226:B1289" ca="1" si="57">IF(C1226=1,RAND(),0)</f>
        <v>0.32614127682677163</v>
      </c>
      <c r="C1226" s="17">
        <f>IF(AND(問題解答データベース!D1226&gt;=小テスト!$C$6,D1226&lt;=小テスト!$E$6),1,0)</f>
        <v>1</v>
      </c>
      <c r="D1226" s="44">
        <f t="shared" si="55"/>
        <v>1225</v>
      </c>
      <c r="E1226" s="45" t="s">
        <v>1389</v>
      </c>
      <c r="F1226" s="46" t="s">
        <v>3137</v>
      </c>
    </row>
    <row r="1227" spans="1:6" ht="17">
      <c r="A1227" s="15">
        <f t="shared" ca="1" si="56"/>
        <v>1712</v>
      </c>
      <c r="B1227" s="16">
        <f t="shared" ca="1" si="57"/>
        <v>9.4288478602060244E-2</v>
      </c>
      <c r="C1227" s="17">
        <f>IF(AND(問題解答データベース!D1227&gt;=小テスト!$C$6,D1227&lt;=小テスト!$E$6),1,0)</f>
        <v>1</v>
      </c>
      <c r="D1227" s="44">
        <f t="shared" si="55"/>
        <v>1226</v>
      </c>
      <c r="E1227" s="45" t="s">
        <v>1390</v>
      </c>
      <c r="F1227" s="46" t="s">
        <v>3138</v>
      </c>
    </row>
    <row r="1228" spans="1:6" ht="17">
      <c r="A1228" s="15">
        <f t="shared" ca="1" si="56"/>
        <v>1718</v>
      </c>
      <c r="B1228" s="16">
        <f t="shared" ca="1" si="57"/>
        <v>8.9946245527944169E-2</v>
      </c>
      <c r="C1228" s="17">
        <f>IF(AND(問題解答データベース!D1228&gt;=小テスト!$C$6,D1228&lt;=小テスト!$E$6),1,0)</f>
        <v>1</v>
      </c>
      <c r="D1228" s="44">
        <f t="shared" si="55"/>
        <v>1227</v>
      </c>
      <c r="E1228" s="45" t="s">
        <v>1391</v>
      </c>
      <c r="F1228" s="46" t="s">
        <v>3139</v>
      </c>
    </row>
    <row r="1229" spans="1:6" ht="17">
      <c r="A1229" s="15">
        <f t="shared" ca="1" si="56"/>
        <v>288</v>
      </c>
      <c r="B1229" s="16">
        <f t="shared" ca="1" si="57"/>
        <v>0.85109948601962804</v>
      </c>
      <c r="C1229" s="17">
        <f>IF(AND(問題解答データベース!D1229&gt;=小テスト!$C$6,D1229&lt;=小テスト!$E$6),1,0)</f>
        <v>1</v>
      </c>
      <c r="D1229" s="44">
        <f t="shared" si="55"/>
        <v>1228</v>
      </c>
      <c r="E1229" s="45" t="s">
        <v>1392</v>
      </c>
      <c r="F1229" s="46" t="s">
        <v>3140</v>
      </c>
    </row>
    <row r="1230" spans="1:6" ht="17">
      <c r="A1230" s="15">
        <f t="shared" ca="1" si="56"/>
        <v>1314</v>
      </c>
      <c r="B1230" s="16">
        <f t="shared" ca="1" si="57"/>
        <v>0.31173499836327234</v>
      </c>
      <c r="C1230" s="17">
        <f>IF(AND(問題解答データベース!D1230&gt;=小テスト!$C$6,D1230&lt;=小テスト!$E$6),1,0)</f>
        <v>1</v>
      </c>
      <c r="D1230" s="44">
        <f t="shared" si="55"/>
        <v>1229</v>
      </c>
      <c r="E1230" s="45" t="s">
        <v>1393</v>
      </c>
      <c r="F1230" s="46" t="s">
        <v>3141</v>
      </c>
    </row>
    <row r="1231" spans="1:6" ht="17">
      <c r="A1231" s="15">
        <f t="shared" ca="1" si="56"/>
        <v>817</v>
      </c>
      <c r="B1231" s="16">
        <f t="shared" ca="1" si="57"/>
        <v>0.56525539319277507</v>
      </c>
      <c r="C1231" s="17">
        <f>IF(AND(問題解答データベース!D1231&gt;=小テスト!$C$6,D1231&lt;=小テスト!$E$6),1,0)</f>
        <v>1</v>
      </c>
      <c r="D1231" s="44">
        <f t="shared" si="55"/>
        <v>1230</v>
      </c>
      <c r="E1231" s="45" t="s">
        <v>1394</v>
      </c>
      <c r="F1231" s="46" t="s">
        <v>3142</v>
      </c>
    </row>
    <row r="1232" spans="1:6" ht="17">
      <c r="A1232" s="15">
        <f t="shared" ca="1" si="56"/>
        <v>517</v>
      </c>
      <c r="B1232" s="16">
        <f t="shared" ca="1" si="57"/>
        <v>0.73257419192777362</v>
      </c>
      <c r="C1232" s="17">
        <f>IF(AND(問題解答データベース!D1232&gt;=小テスト!$C$6,D1232&lt;=小テスト!$E$6),1,0)</f>
        <v>1</v>
      </c>
      <c r="D1232" s="44">
        <f t="shared" si="55"/>
        <v>1231</v>
      </c>
      <c r="E1232" s="45" t="s">
        <v>1395</v>
      </c>
      <c r="F1232" s="46" t="s">
        <v>3143</v>
      </c>
    </row>
    <row r="1233" spans="1:6" ht="17">
      <c r="A1233" s="15">
        <f t="shared" ca="1" si="56"/>
        <v>34</v>
      </c>
      <c r="B1233" s="16">
        <f t="shared" ca="1" si="57"/>
        <v>0.98105394012379421</v>
      </c>
      <c r="C1233" s="17">
        <f>IF(AND(問題解答データベース!D1233&gt;=小テスト!$C$6,D1233&lt;=小テスト!$E$6),1,0)</f>
        <v>1</v>
      </c>
      <c r="D1233" s="44">
        <f t="shared" si="55"/>
        <v>1232</v>
      </c>
      <c r="E1233" s="45" t="s">
        <v>1396</v>
      </c>
      <c r="F1233" s="46" t="s">
        <v>3144</v>
      </c>
    </row>
    <row r="1234" spans="1:6" ht="17">
      <c r="A1234" s="15">
        <f t="shared" ca="1" si="56"/>
        <v>465</v>
      </c>
      <c r="B1234" s="16">
        <f t="shared" ca="1" si="57"/>
        <v>0.75971477929083719</v>
      </c>
      <c r="C1234" s="17">
        <f>IF(AND(問題解答データベース!D1234&gt;=小テスト!$C$6,D1234&lt;=小テスト!$E$6),1,0)</f>
        <v>1</v>
      </c>
      <c r="D1234" s="44">
        <f t="shared" si="55"/>
        <v>1233</v>
      </c>
      <c r="E1234" s="45" t="s">
        <v>1397</v>
      </c>
      <c r="F1234" s="46" t="s">
        <v>3145</v>
      </c>
    </row>
    <row r="1235" spans="1:6" ht="17">
      <c r="A1235" s="15">
        <f t="shared" ca="1" si="56"/>
        <v>772</v>
      </c>
      <c r="B1235" s="16">
        <f t="shared" ca="1" si="57"/>
        <v>0.59310617868737114</v>
      </c>
      <c r="C1235" s="17">
        <f>IF(AND(問題解答データベース!D1235&gt;=小テスト!$C$6,D1235&lt;=小テスト!$E$6),1,0)</f>
        <v>1</v>
      </c>
      <c r="D1235" s="44">
        <f t="shared" si="55"/>
        <v>1234</v>
      </c>
      <c r="E1235" s="45" t="s">
        <v>1398</v>
      </c>
      <c r="F1235" s="46" t="s">
        <v>3146</v>
      </c>
    </row>
    <row r="1236" spans="1:6" ht="17">
      <c r="A1236" s="15">
        <f t="shared" ca="1" si="56"/>
        <v>1487</v>
      </c>
      <c r="B1236" s="16">
        <f t="shared" ca="1" si="57"/>
        <v>0.20867967913517316</v>
      </c>
      <c r="C1236" s="17">
        <f>IF(AND(問題解答データベース!D1236&gt;=小テスト!$C$6,D1236&lt;=小テスト!$E$6),1,0)</f>
        <v>1</v>
      </c>
      <c r="D1236" s="44">
        <f t="shared" si="55"/>
        <v>1235</v>
      </c>
      <c r="E1236" s="45" t="s">
        <v>1399</v>
      </c>
      <c r="F1236" s="46" t="s">
        <v>3147</v>
      </c>
    </row>
    <row r="1237" spans="1:6" ht="17">
      <c r="A1237" s="15">
        <f t="shared" ca="1" si="56"/>
        <v>1796</v>
      </c>
      <c r="B1237" s="16">
        <f t="shared" ca="1" si="57"/>
        <v>5.0243986876845392E-2</v>
      </c>
      <c r="C1237" s="17">
        <f>IF(AND(問題解答データベース!D1237&gt;=小テスト!$C$6,D1237&lt;=小テスト!$E$6),1,0)</f>
        <v>1</v>
      </c>
      <c r="D1237" s="44">
        <f t="shared" si="55"/>
        <v>1236</v>
      </c>
      <c r="E1237" s="45" t="s">
        <v>1400</v>
      </c>
      <c r="F1237" s="46" t="s">
        <v>3148</v>
      </c>
    </row>
    <row r="1238" spans="1:6" ht="17">
      <c r="A1238" s="15">
        <f t="shared" ca="1" si="56"/>
        <v>1423</v>
      </c>
      <c r="B1238" s="16">
        <f t="shared" ca="1" si="57"/>
        <v>0.25133405331410064</v>
      </c>
      <c r="C1238" s="17">
        <f>IF(AND(問題解答データベース!D1238&gt;=小テスト!$C$6,D1238&lt;=小テスト!$E$6),1,0)</f>
        <v>1</v>
      </c>
      <c r="D1238" s="44">
        <f t="shared" si="55"/>
        <v>1237</v>
      </c>
      <c r="E1238" s="45" t="s">
        <v>1401</v>
      </c>
      <c r="F1238" s="46" t="s">
        <v>3149</v>
      </c>
    </row>
    <row r="1239" spans="1:6" ht="17">
      <c r="A1239" s="15">
        <f t="shared" ca="1" si="56"/>
        <v>178</v>
      </c>
      <c r="B1239" s="16">
        <f t="shared" ca="1" si="57"/>
        <v>0.91468462009138207</v>
      </c>
      <c r="C1239" s="17">
        <f>IF(AND(問題解答データベース!D1239&gt;=小テスト!$C$6,D1239&lt;=小テスト!$E$6),1,0)</f>
        <v>1</v>
      </c>
      <c r="D1239" s="44">
        <f t="shared" si="55"/>
        <v>1238</v>
      </c>
      <c r="E1239" s="45" t="s">
        <v>1402</v>
      </c>
      <c r="F1239" s="46" t="s">
        <v>3150</v>
      </c>
    </row>
    <row r="1240" spans="1:6" ht="17">
      <c r="A1240" s="15">
        <f t="shared" ca="1" si="56"/>
        <v>1657</v>
      </c>
      <c r="B1240" s="16">
        <f t="shared" ca="1" si="57"/>
        <v>0.12451501586042069</v>
      </c>
      <c r="C1240" s="17">
        <f>IF(AND(問題解答データベース!D1240&gt;=小テスト!$C$6,D1240&lt;=小テスト!$E$6),1,0)</f>
        <v>1</v>
      </c>
      <c r="D1240" s="44">
        <f t="shared" si="55"/>
        <v>1239</v>
      </c>
      <c r="E1240" s="45" t="s">
        <v>1403</v>
      </c>
      <c r="F1240" s="46" t="s">
        <v>3151</v>
      </c>
    </row>
    <row r="1241" spans="1:6" ht="17">
      <c r="A1241" s="15">
        <f t="shared" ca="1" si="56"/>
        <v>1427</v>
      </c>
      <c r="B1241" s="16">
        <f t="shared" ca="1" si="57"/>
        <v>0.24912608543077708</v>
      </c>
      <c r="C1241" s="17">
        <f>IF(AND(問題解答データベース!D1241&gt;=小テスト!$C$6,D1241&lt;=小テスト!$E$6),1,0)</f>
        <v>1</v>
      </c>
      <c r="D1241" s="44">
        <f t="shared" si="55"/>
        <v>1240</v>
      </c>
      <c r="E1241" s="45" t="s">
        <v>1404</v>
      </c>
      <c r="F1241" s="46" t="s">
        <v>3152</v>
      </c>
    </row>
    <row r="1242" spans="1:6" ht="17">
      <c r="A1242" s="15">
        <f t="shared" ca="1" si="56"/>
        <v>209</v>
      </c>
      <c r="B1242" s="16">
        <f t="shared" ca="1" si="57"/>
        <v>0.89856471595725573</v>
      </c>
      <c r="C1242" s="17">
        <f>IF(AND(問題解答データベース!D1242&gt;=小テスト!$C$6,D1242&lt;=小テスト!$E$6),1,0)</f>
        <v>1</v>
      </c>
      <c r="D1242" s="44">
        <f t="shared" si="55"/>
        <v>1241</v>
      </c>
      <c r="E1242" s="45" t="s">
        <v>1405</v>
      </c>
      <c r="F1242" s="46" t="s">
        <v>3153</v>
      </c>
    </row>
    <row r="1243" spans="1:6" ht="17">
      <c r="A1243" s="15">
        <f t="shared" ca="1" si="56"/>
        <v>1786</v>
      </c>
      <c r="B1243" s="16">
        <f t="shared" ca="1" si="57"/>
        <v>5.5432859961562442E-2</v>
      </c>
      <c r="C1243" s="17">
        <f>IF(AND(問題解答データベース!D1243&gt;=小テスト!$C$6,D1243&lt;=小テスト!$E$6),1,0)</f>
        <v>1</v>
      </c>
      <c r="D1243" s="44">
        <f t="shared" si="55"/>
        <v>1242</v>
      </c>
      <c r="E1243" s="45" t="s">
        <v>1406</v>
      </c>
      <c r="F1243" s="46" t="s">
        <v>3154</v>
      </c>
    </row>
    <row r="1244" spans="1:6" ht="17">
      <c r="A1244" s="15">
        <f t="shared" ca="1" si="56"/>
        <v>1896</v>
      </c>
      <c r="B1244" s="16">
        <f t="shared" ca="1" si="57"/>
        <v>1.7363812558881531E-3</v>
      </c>
      <c r="C1244" s="17">
        <f>IF(AND(問題解答データベース!D1244&gt;=小テスト!$C$6,D1244&lt;=小テスト!$E$6),1,0)</f>
        <v>1</v>
      </c>
      <c r="D1244" s="44">
        <f t="shared" ref="D1244:D1307" si="58">D1243+1</f>
        <v>1243</v>
      </c>
      <c r="E1244" s="45" t="s">
        <v>1407</v>
      </c>
      <c r="F1244" s="46" t="s">
        <v>3155</v>
      </c>
    </row>
    <row r="1245" spans="1:6" ht="17">
      <c r="A1245" s="15">
        <f t="shared" ca="1" si="56"/>
        <v>1387</v>
      </c>
      <c r="B1245" s="16">
        <f t="shared" ca="1" si="57"/>
        <v>0.270577184221793</v>
      </c>
      <c r="C1245" s="17">
        <f>IF(AND(問題解答データベース!D1245&gt;=小テスト!$C$6,D1245&lt;=小テスト!$E$6),1,0)</f>
        <v>1</v>
      </c>
      <c r="D1245" s="44">
        <f t="shared" si="58"/>
        <v>1244</v>
      </c>
      <c r="E1245" s="45" t="s">
        <v>1408</v>
      </c>
      <c r="F1245" s="46" t="s">
        <v>3156</v>
      </c>
    </row>
    <row r="1246" spans="1:6" ht="17">
      <c r="A1246" s="15">
        <f t="shared" ca="1" si="56"/>
        <v>1288</v>
      </c>
      <c r="B1246" s="16">
        <f t="shared" ca="1" si="57"/>
        <v>0.32702418058051952</v>
      </c>
      <c r="C1246" s="17">
        <f>IF(AND(問題解答データベース!D1246&gt;=小テスト!$C$6,D1246&lt;=小テスト!$E$6),1,0)</f>
        <v>1</v>
      </c>
      <c r="D1246" s="44">
        <f t="shared" si="58"/>
        <v>1245</v>
      </c>
      <c r="E1246" s="45" t="s">
        <v>1409</v>
      </c>
      <c r="F1246" s="46" t="s">
        <v>3157</v>
      </c>
    </row>
    <row r="1247" spans="1:6" ht="17">
      <c r="A1247" s="15">
        <f t="shared" ca="1" si="56"/>
        <v>1489</v>
      </c>
      <c r="B1247" s="16">
        <f t="shared" ca="1" si="57"/>
        <v>0.20673458436382808</v>
      </c>
      <c r="C1247" s="17">
        <f>IF(AND(問題解答データベース!D1247&gt;=小テスト!$C$6,D1247&lt;=小テスト!$E$6),1,0)</f>
        <v>1</v>
      </c>
      <c r="D1247" s="44">
        <f t="shared" si="58"/>
        <v>1246</v>
      </c>
      <c r="E1247" s="45" t="s">
        <v>1410</v>
      </c>
      <c r="F1247" s="46" t="s">
        <v>3158</v>
      </c>
    </row>
    <row r="1248" spans="1:6" ht="17">
      <c r="A1248" s="15">
        <f t="shared" ca="1" si="56"/>
        <v>885</v>
      </c>
      <c r="B1248" s="16">
        <f t="shared" ca="1" si="57"/>
        <v>0.53163595637714522</v>
      </c>
      <c r="C1248" s="17">
        <f>IF(AND(問題解答データベース!D1248&gt;=小テスト!$C$6,D1248&lt;=小テスト!$E$6),1,0)</f>
        <v>1</v>
      </c>
      <c r="D1248" s="44">
        <f t="shared" si="58"/>
        <v>1247</v>
      </c>
      <c r="E1248" s="45" t="s">
        <v>1411</v>
      </c>
      <c r="F1248" s="46" t="s">
        <v>3159</v>
      </c>
    </row>
    <row r="1249" spans="1:6" ht="17">
      <c r="A1249" s="15">
        <f t="shared" ca="1" si="56"/>
        <v>753</v>
      </c>
      <c r="B1249" s="16">
        <f t="shared" ca="1" si="57"/>
        <v>0.60075235903469271</v>
      </c>
      <c r="C1249" s="17">
        <f>IF(AND(問題解答データベース!D1249&gt;=小テスト!$C$6,D1249&lt;=小テスト!$E$6),1,0)</f>
        <v>1</v>
      </c>
      <c r="D1249" s="44">
        <f t="shared" si="58"/>
        <v>1248</v>
      </c>
      <c r="E1249" s="45" t="s">
        <v>1412</v>
      </c>
      <c r="F1249" s="46" t="s">
        <v>3160</v>
      </c>
    </row>
    <row r="1250" spans="1:6" ht="17">
      <c r="A1250" s="15">
        <f t="shared" ca="1" si="56"/>
        <v>1100</v>
      </c>
      <c r="B1250" s="16">
        <f t="shared" ca="1" si="57"/>
        <v>0.42309665385112072</v>
      </c>
      <c r="C1250" s="17">
        <f>IF(AND(問題解答データベース!D1250&gt;=小テスト!$C$6,D1250&lt;=小テスト!$E$6),1,0)</f>
        <v>1</v>
      </c>
      <c r="D1250" s="44">
        <f t="shared" si="58"/>
        <v>1249</v>
      </c>
      <c r="E1250" s="45" t="s">
        <v>1413</v>
      </c>
      <c r="F1250" s="46" t="s">
        <v>3161</v>
      </c>
    </row>
    <row r="1251" spans="1:6" ht="17">
      <c r="A1251" s="15">
        <f t="shared" ca="1" si="56"/>
        <v>17</v>
      </c>
      <c r="B1251" s="16">
        <f t="shared" ca="1" si="57"/>
        <v>0.99342011691742604</v>
      </c>
      <c r="C1251" s="17">
        <f>IF(AND(問題解答データベース!D1251&gt;=小テスト!$C$6,D1251&lt;=小テスト!$E$6),1,0)</f>
        <v>1</v>
      </c>
      <c r="D1251" s="44">
        <f t="shared" si="58"/>
        <v>1250</v>
      </c>
      <c r="E1251" s="45" t="s">
        <v>1414</v>
      </c>
      <c r="F1251" s="46" t="s">
        <v>3162</v>
      </c>
    </row>
    <row r="1252" spans="1:6" ht="17">
      <c r="A1252" s="15">
        <f t="shared" ca="1" si="56"/>
        <v>1205</v>
      </c>
      <c r="B1252" s="16">
        <f t="shared" ca="1" si="57"/>
        <v>0.3660786927371118</v>
      </c>
      <c r="C1252" s="17">
        <f>IF(AND(問題解答データベース!D1252&gt;=小テスト!$C$6,D1252&lt;=小テスト!$E$6),1,0)</f>
        <v>1</v>
      </c>
      <c r="D1252" s="44">
        <f t="shared" si="58"/>
        <v>1251</v>
      </c>
      <c r="E1252" s="45" t="s">
        <v>1415</v>
      </c>
      <c r="F1252" s="46" t="s">
        <v>3163</v>
      </c>
    </row>
    <row r="1253" spans="1:6" ht="17">
      <c r="A1253" s="15">
        <f t="shared" ca="1" si="56"/>
        <v>1816</v>
      </c>
      <c r="B1253" s="16">
        <f t="shared" ca="1" si="57"/>
        <v>4.1378113840911612E-2</v>
      </c>
      <c r="C1253" s="17">
        <f>IF(AND(問題解答データベース!D1253&gt;=小テスト!$C$6,D1253&lt;=小テスト!$E$6),1,0)</f>
        <v>1</v>
      </c>
      <c r="D1253" s="44">
        <f t="shared" si="58"/>
        <v>1252</v>
      </c>
      <c r="E1253" s="45" t="s">
        <v>1416</v>
      </c>
      <c r="F1253" s="46" t="s">
        <v>3164</v>
      </c>
    </row>
    <row r="1254" spans="1:6" ht="17">
      <c r="A1254" s="15">
        <f t="shared" ca="1" si="56"/>
        <v>237</v>
      </c>
      <c r="B1254" s="16">
        <f t="shared" ca="1" si="57"/>
        <v>0.87646198902748118</v>
      </c>
      <c r="C1254" s="17">
        <f>IF(AND(問題解答データベース!D1254&gt;=小テスト!$C$6,D1254&lt;=小テスト!$E$6),1,0)</f>
        <v>1</v>
      </c>
      <c r="D1254" s="44">
        <f t="shared" si="58"/>
        <v>1253</v>
      </c>
      <c r="E1254" s="45" t="s">
        <v>1417</v>
      </c>
      <c r="F1254" s="46" t="s">
        <v>3165</v>
      </c>
    </row>
    <row r="1255" spans="1:6" ht="17">
      <c r="A1255" s="15">
        <f t="shared" ca="1" si="56"/>
        <v>1238</v>
      </c>
      <c r="B1255" s="16">
        <f t="shared" ca="1" si="57"/>
        <v>0.35811613374952467</v>
      </c>
      <c r="C1255" s="17">
        <f>IF(AND(問題解答データベース!D1255&gt;=小テスト!$C$6,D1255&lt;=小テスト!$E$6),1,0)</f>
        <v>1</v>
      </c>
      <c r="D1255" s="44">
        <f t="shared" si="58"/>
        <v>1254</v>
      </c>
      <c r="E1255" s="45" t="s">
        <v>1418</v>
      </c>
      <c r="F1255" s="46" t="s">
        <v>3166</v>
      </c>
    </row>
    <row r="1256" spans="1:6" ht="17">
      <c r="A1256" s="15">
        <f t="shared" ca="1" si="56"/>
        <v>1899</v>
      </c>
      <c r="B1256" s="16">
        <f t="shared" ca="1" si="57"/>
        <v>2.4238609778859388E-4</v>
      </c>
      <c r="C1256" s="17">
        <f>IF(AND(問題解答データベース!D1256&gt;=小テスト!$C$6,D1256&lt;=小テスト!$E$6),1,0)</f>
        <v>1</v>
      </c>
      <c r="D1256" s="44">
        <f t="shared" si="58"/>
        <v>1255</v>
      </c>
      <c r="E1256" s="45" t="s">
        <v>1419</v>
      </c>
      <c r="F1256" s="46" t="s">
        <v>3167</v>
      </c>
    </row>
    <row r="1257" spans="1:6" ht="17">
      <c r="A1257" s="15">
        <f t="shared" ca="1" si="56"/>
        <v>484</v>
      </c>
      <c r="B1257" s="16">
        <f t="shared" ca="1" si="57"/>
        <v>0.75140172010929529</v>
      </c>
      <c r="C1257" s="17">
        <f>IF(AND(問題解答データベース!D1257&gt;=小テスト!$C$6,D1257&lt;=小テスト!$E$6),1,0)</f>
        <v>1</v>
      </c>
      <c r="D1257" s="44">
        <f t="shared" si="58"/>
        <v>1256</v>
      </c>
      <c r="E1257" s="45" t="s">
        <v>1420</v>
      </c>
      <c r="F1257" s="46" t="s">
        <v>3168</v>
      </c>
    </row>
    <row r="1258" spans="1:6" ht="17">
      <c r="A1258" s="15">
        <f t="shared" ca="1" si="56"/>
        <v>1802</v>
      </c>
      <c r="B1258" s="16">
        <f t="shared" ca="1" si="57"/>
        <v>4.7303441361935206E-2</v>
      </c>
      <c r="C1258" s="17">
        <f>IF(AND(問題解答データベース!D1258&gt;=小テスト!$C$6,D1258&lt;=小テスト!$E$6),1,0)</f>
        <v>1</v>
      </c>
      <c r="D1258" s="44">
        <f t="shared" si="58"/>
        <v>1257</v>
      </c>
      <c r="E1258" s="45" t="s">
        <v>1421</v>
      </c>
      <c r="F1258" s="46" t="s">
        <v>3169</v>
      </c>
    </row>
    <row r="1259" spans="1:6" ht="17">
      <c r="A1259" s="15">
        <f t="shared" ca="1" si="56"/>
        <v>463</v>
      </c>
      <c r="B1259" s="16">
        <f t="shared" ca="1" si="57"/>
        <v>0.76062565599269516</v>
      </c>
      <c r="C1259" s="17">
        <f>IF(AND(問題解答データベース!D1259&gt;=小テスト!$C$6,D1259&lt;=小テスト!$E$6),1,0)</f>
        <v>1</v>
      </c>
      <c r="D1259" s="44">
        <f t="shared" si="58"/>
        <v>1258</v>
      </c>
      <c r="E1259" s="45" t="s">
        <v>1422</v>
      </c>
      <c r="F1259" s="46" t="s">
        <v>3170</v>
      </c>
    </row>
    <row r="1260" spans="1:6" ht="17">
      <c r="A1260" s="15">
        <f t="shared" ca="1" si="56"/>
        <v>93</v>
      </c>
      <c r="B1260" s="16">
        <f t="shared" ca="1" si="57"/>
        <v>0.9553080391815435</v>
      </c>
      <c r="C1260" s="17">
        <f>IF(AND(問題解答データベース!D1260&gt;=小テスト!$C$6,D1260&lt;=小テスト!$E$6),1,0)</f>
        <v>1</v>
      </c>
      <c r="D1260" s="44">
        <f t="shared" si="58"/>
        <v>1259</v>
      </c>
      <c r="E1260" s="45" t="s">
        <v>1423</v>
      </c>
      <c r="F1260" s="46" t="s">
        <v>3171</v>
      </c>
    </row>
    <row r="1261" spans="1:6" ht="17">
      <c r="A1261" s="15">
        <f t="shared" ca="1" si="56"/>
        <v>1436</v>
      </c>
      <c r="B1261" s="16">
        <f t="shared" ca="1" si="57"/>
        <v>0.24401922603621184</v>
      </c>
      <c r="C1261" s="17">
        <f>IF(AND(問題解答データベース!D1261&gt;=小テスト!$C$6,D1261&lt;=小テスト!$E$6),1,0)</f>
        <v>1</v>
      </c>
      <c r="D1261" s="44">
        <f t="shared" si="58"/>
        <v>1260</v>
      </c>
      <c r="E1261" s="45" t="s">
        <v>1424</v>
      </c>
      <c r="F1261" s="46" t="s">
        <v>3172</v>
      </c>
    </row>
    <row r="1262" spans="1:6" ht="17">
      <c r="A1262" s="15">
        <f t="shared" ca="1" si="56"/>
        <v>1827</v>
      </c>
      <c r="B1262" s="16">
        <f t="shared" ca="1" si="57"/>
        <v>3.6100612514264441E-2</v>
      </c>
      <c r="C1262" s="17">
        <f>IF(AND(問題解答データベース!D1262&gt;=小テスト!$C$6,D1262&lt;=小テスト!$E$6),1,0)</f>
        <v>1</v>
      </c>
      <c r="D1262" s="44">
        <f t="shared" si="58"/>
        <v>1261</v>
      </c>
      <c r="E1262" s="45" t="s">
        <v>1425</v>
      </c>
      <c r="F1262" s="46" t="s">
        <v>3173</v>
      </c>
    </row>
    <row r="1263" spans="1:6" ht="17">
      <c r="A1263" s="15">
        <f t="shared" ca="1" si="56"/>
        <v>1695</v>
      </c>
      <c r="B1263" s="16">
        <f t="shared" ca="1" si="57"/>
        <v>0.1032714517164427</v>
      </c>
      <c r="C1263" s="17">
        <f>IF(AND(問題解答データベース!D1263&gt;=小テスト!$C$6,D1263&lt;=小テスト!$E$6),1,0)</f>
        <v>1</v>
      </c>
      <c r="D1263" s="44">
        <f t="shared" si="58"/>
        <v>1262</v>
      </c>
      <c r="E1263" s="45" t="s">
        <v>1426</v>
      </c>
      <c r="F1263" s="46" t="s">
        <v>3174</v>
      </c>
    </row>
    <row r="1264" spans="1:6" ht="17">
      <c r="A1264" s="15">
        <f t="shared" ca="1" si="56"/>
        <v>340</v>
      </c>
      <c r="B1264" s="16">
        <f t="shared" ca="1" si="57"/>
        <v>0.81783641101280447</v>
      </c>
      <c r="C1264" s="17">
        <f>IF(AND(問題解答データベース!D1264&gt;=小テスト!$C$6,D1264&lt;=小テスト!$E$6),1,0)</f>
        <v>1</v>
      </c>
      <c r="D1264" s="44">
        <f t="shared" si="58"/>
        <v>1263</v>
      </c>
      <c r="E1264" s="45" t="s">
        <v>1427</v>
      </c>
      <c r="F1264" s="46" t="s">
        <v>3175</v>
      </c>
    </row>
    <row r="1265" spans="1:6" ht="17">
      <c r="A1265" s="15">
        <f t="shared" ca="1" si="56"/>
        <v>1052</v>
      </c>
      <c r="B1265" s="16">
        <f t="shared" ca="1" si="57"/>
        <v>0.45248379334308142</v>
      </c>
      <c r="C1265" s="17">
        <f>IF(AND(問題解答データベース!D1265&gt;=小テスト!$C$6,D1265&lt;=小テスト!$E$6),1,0)</f>
        <v>1</v>
      </c>
      <c r="D1265" s="44">
        <f t="shared" si="58"/>
        <v>1264</v>
      </c>
      <c r="E1265" s="45" t="s">
        <v>1428</v>
      </c>
      <c r="F1265" s="46" t="s">
        <v>3176</v>
      </c>
    </row>
    <row r="1266" spans="1:6" ht="17">
      <c r="A1266" s="15">
        <f t="shared" ca="1" si="56"/>
        <v>1136</v>
      </c>
      <c r="B1266" s="16">
        <f t="shared" ca="1" si="57"/>
        <v>0.40463256420272686</v>
      </c>
      <c r="C1266" s="17">
        <f>IF(AND(問題解答データベース!D1266&gt;=小テスト!$C$6,D1266&lt;=小テスト!$E$6),1,0)</f>
        <v>1</v>
      </c>
      <c r="D1266" s="44">
        <f t="shared" si="58"/>
        <v>1265</v>
      </c>
      <c r="E1266" s="45" t="s">
        <v>1429</v>
      </c>
      <c r="F1266" s="46" t="s">
        <v>3177</v>
      </c>
    </row>
    <row r="1267" spans="1:6" ht="17">
      <c r="A1267" s="15">
        <f t="shared" ca="1" si="56"/>
        <v>1186</v>
      </c>
      <c r="B1267" s="16">
        <f t="shared" ca="1" si="57"/>
        <v>0.37415245533743668</v>
      </c>
      <c r="C1267" s="17">
        <f>IF(AND(問題解答データベース!D1267&gt;=小テスト!$C$6,D1267&lt;=小テスト!$E$6),1,0)</f>
        <v>1</v>
      </c>
      <c r="D1267" s="44">
        <f t="shared" si="58"/>
        <v>1266</v>
      </c>
      <c r="E1267" s="45" t="s">
        <v>1430</v>
      </c>
      <c r="F1267" s="46" t="s">
        <v>3178</v>
      </c>
    </row>
    <row r="1268" spans="1:6" ht="17">
      <c r="A1268" s="15">
        <f t="shared" ca="1" si="56"/>
        <v>400</v>
      </c>
      <c r="B1268" s="16">
        <f t="shared" ca="1" si="57"/>
        <v>0.78739319782007489</v>
      </c>
      <c r="C1268" s="17">
        <f>IF(AND(問題解答データベース!D1268&gt;=小テスト!$C$6,D1268&lt;=小テスト!$E$6),1,0)</f>
        <v>1</v>
      </c>
      <c r="D1268" s="44">
        <f t="shared" si="58"/>
        <v>1267</v>
      </c>
      <c r="E1268" s="45" t="s">
        <v>1431</v>
      </c>
      <c r="F1268" s="46" t="s">
        <v>3179</v>
      </c>
    </row>
    <row r="1269" spans="1:6" ht="17">
      <c r="A1269" s="15">
        <f t="shared" ca="1" si="56"/>
        <v>875</v>
      </c>
      <c r="B1269" s="16">
        <f t="shared" ca="1" si="57"/>
        <v>0.5352887782006801</v>
      </c>
      <c r="C1269" s="17">
        <f>IF(AND(問題解答データベース!D1269&gt;=小テスト!$C$6,D1269&lt;=小テスト!$E$6),1,0)</f>
        <v>1</v>
      </c>
      <c r="D1269" s="44">
        <f t="shared" si="58"/>
        <v>1268</v>
      </c>
      <c r="E1269" s="45" t="s">
        <v>1432</v>
      </c>
      <c r="F1269" s="46" t="s">
        <v>3180</v>
      </c>
    </row>
    <row r="1270" spans="1:6" ht="17">
      <c r="A1270" s="15">
        <f t="shared" ca="1" si="56"/>
        <v>28</v>
      </c>
      <c r="B1270" s="16">
        <f t="shared" ca="1" si="57"/>
        <v>0.98483368729555942</v>
      </c>
      <c r="C1270" s="17">
        <f>IF(AND(問題解答データベース!D1270&gt;=小テスト!$C$6,D1270&lt;=小テスト!$E$6),1,0)</f>
        <v>1</v>
      </c>
      <c r="D1270" s="44">
        <f t="shared" si="58"/>
        <v>1269</v>
      </c>
      <c r="E1270" s="45" t="s">
        <v>1433</v>
      </c>
      <c r="F1270" s="46" t="s">
        <v>3181</v>
      </c>
    </row>
    <row r="1271" spans="1:6" ht="17">
      <c r="A1271" s="15">
        <f t="shared" ca="1" si="56"/>
        <v>967</v>
      </c>
      <c r="B1271" s="16">
        <f t="shared" ca="1" si="57"/>
        <v>0.49114993221291892</v>
      </c>
      <c r="C1271" s="17">
        <f>IF(AND(問題解答データベース!D1271&gt;=小テスト!$C$6,D1271&lt;=小テスト!$E$6),1,0)</f>
        <v>1</v>
      </c>
      <c r="D1271" s="44">
        <f t="shared" si="58"/>
        <v>1270</v>
      </c>
      <c r="E1271" s="45" t="s">
        <v>1434</v>
      </c>
      <c r="F1271" s="46" t="s">
        <v>3182</v>
      </c>
    </row>
    <row r="1272" spans="1:6" ht="17">
      <c r="A1272" s="15">
        <f t="shared" ca="1" si="56"/>
        <v>1113</v>
      </c>
      <c r="B1272" s="16">
        <f t="shared" ca="1" si="57"/>
        <v>0.41552486648265996</v>
      </c>
      <c r="C1272" s="17">
        <f>IF(AND(問題解答データベース!D1272&gt;=小テスト!$C$6,D1272&lt;=小テスト!$E$6),1,0)</f>
        <v>1</v>
      </c>
      <c r="D1272" s="44">
        <f t="shared" si="58"/>
        <v>1271</v>
      </c>
      <c r="E1272" s="45" t="s">
        <v>1435</v>
      </c>
      <c r="F1272" s="46" t="s">
        <v>3183</v>
      </c>
    </row>
    <row r="1273" spans="1:6" ht="17">
      <c r="A1273" s="15">
        <f t="shared" ca="1" si="56"/>
        <v>1324</v>
      </c>
      <c r="B1273" s="16">
        <f t="shared" ca="1" si="57"/>
        <v>0.30595053732271593</v>
      </c>
      <c r="C1273" s="17">
        <f>IF(AND(問題解答データベース!D1273&gt;=小テスト!$C$6,D1273&lt;=小テスト!$E$6),1,0)</f>
        <v>1</v>
      </c>
      <c r="D1273" s="44">
        <f t="shared" si="58"/>
        <v>1272</v>
      </c>
      <c r="E1273" s="45" t="s">
        <v>1436</v>
      </c>
      <c r="F1273" s="46" t="s">
        <v>3184</v>
      </c>
    </row>
    <row r="1274" spans="1:6" ht="17">
      <c r="A1274" s="15">
        <f t="shared" ca="1" si="56"/>
        <v>1290</v>
      </c>
      <c r="B1274" s="16">
        <f t="shared" ca="1" si="57"/>
        <v>0.32612404406115281</v>
      </c>
      <c r="C1274" s="17">
        <f>IF(AND(問題解答データベース!D1274&gt;=小テスト!$C$6,D1274&lt;=小テスト!$E$6),1,0)</f>
        <v>1</v>
      </c>
      <c r="D1274" s="44">
        <f t="shared" si="58"/>
        <v>1273</v>
      </c>
      <c r="E1274" s="45" t="s">
        <v>1437</v>
      </c>
      <c r="F1274" s="46" t="s">
        <v>3185</v>
      </c>
    </row>
    <row r="1275" spans="1:6" ht="17">
      <c r="A1275" s="15">
        <f t="shared" ca="1" si="56"/>
        <v>29</v>
      </c>
      <c r="B1275" s="16">
        <f t="shared" ca="1" si="57"/>
        <v>0.9842173779586777</v>
      </c>
      <c r="C1275" s="17">
        <f>IF(AND(問題解答データベース!D1275&gt;=小テスト!$C$6,D1275&lt;=小テスト!$E$6),1,0)</f>
        <v>1</v>
      </c>
      <c r="D1275" s="44">
        <f t="shared" si="58"/>
        <v>1274</v>
      </c>
      <c r="E1275" s="45" t="s">
        <v>1438</v>
      </c>
      <c r="F1275" s="46" t="s">
        <v>3186</v>
      </c>
    </row>
    <row r="1276" spans="1:6" ht="17">
      <c r="A1276" s="15">
        <f t="shared" ca="1" si="56"/>
        <v>731</v>
      </c>
      <c r="B1276" s="16">
        <f t="shared" ca="1" si="57"/>
        <v>0.61182878217323533</v>
      </c>
      <c r="C1276" s="17">
        <f>IF(AND(問題解答データベース!D1276&gt;=小テスト!$C$6,D1276&lt;=小テスト!$E$6),1,0)</f>
        <v>1</v>
      </c>
      <c r="D1276" s="44">
        <f t="shared" si="58"/>
        <v>1275</v>
      </c>
      <c r="E1276" s="45" t="s">
        <v>1439</v>
      </c>
      <c r="F1276" s="46" t="s">
        <v>3187</v>
      </c>
    </row>
    <row r="1277" spans="1:6" ht="17">
      <c r="A1277" s="15">
        <f t="shared" ca="1" si="56"/>
        <v>414</v>
      </c>
      <c r="B1277" s="16">
        <f t="shared" ca="1" si="57"/>
        <v>0.78153190075402534</v>
      </c>
      <c r="C1277" s="17">
        <f>IF(AND(問題解答データベース!D1277&gt;=小テスト!$C$6,D1277&lt;=小テスト!$E$6),1,0)</f>
        <v>1</v>
      </c>
      <c r="D1277" s="44">
        <f t="shared" si="58"/>
        <v>1276</v>
      </c>
      <c r="E1277" s="45" t="s">
        <v>1440</v>
      </c>
      <c r="F1277" s="46" t="s">
        <v>3188</v>
      </c>
    </row>
    <row r="1278" spans="1:6" ht="17">
      <c r="A1278" s="15">
        <f t="shared" ca="1" si="56"/>
        <v>306</v>
      </c>
      <c r="B1278" s="16">
        <f t="shared" ca="1" si="57"/>
        <v>0.84334086902213368</v>
      </c>
      <c r="C1278" s="17">
        <f>IF(AND(問題解答データベース!D1278&gt;=小テスト!$C$6,D1278&lt;=小テスト!$E$6),1,0)</f>
        <v>1</v>
      </c>
      <c r="D1278" s="44">
        <f t="shared" si="58"/>
        <v>1277</v>
      </c>
      <c r="E1278" s="45" t="s">
        <v>1441</v>
      </c>
      <c r="F1278" s="46" t="s">
        <v>3189</v>
      </c>
    </row>
    <row r="1279" spans="1:6" ht="17">
      <c r="A1279" s="15">
        <f t="shared" ca="1" si="56"/>
        <v>1867</v>
      </c>
      <c r="B1279" s="16">
        <f t="shared" ca="1" si="57"/>
        <v>1.4776414645019553E-2</v>
      </c>
      <c r="C1279" s="17">
        <f>IF(AND(問題解答データベース!D1279&gt;=小テスト!$C$6,D1279&lt;=小テスト!$E$6),1,0)</f>
        <v>1</v>
      </c>
      <c r="D1279" s="44">
        <f t="shared" si="58"/>
        <v>1278</v>
      </c>
      <c r="E1279" s="45" t="s">
        <v>1442</v>
      </c>
      <c r="F1279" s="46" t="s">
        <v>3190</v>
      </c>
    </row>
    <row r="1280" spans="1:6" ht="17">
      <c r="A1280" s="15">
        <f t="shared" ca="1" si="56"/>
        <v>1354</v>
      </c>
      <c r="B1280" s="16">
        <f t="shared" ca="1" si="57"/>
        <v>0.29044811896593214</v>
      </c>
      <c r="C1280" s="17">
        <f>IF(AND(問題解答データベース!D1280&gt;=小テスト!$C$6,D1280&lt;=小テスト!$E$6),1,0)</f>
        <v>1</v>
      </c>
      <c r="D1280" s="44">
        <f t="shared" si="58"/>
        <v>1279</v>
      </c>
      <c r="E1280" s="45" t="s">
        <v>1443</v>
      </c>
      <c r="F1280" s="46" t="s">
        <v>3191</v>
      </c>
    </row>
    <row r="1281" spans="1:6" ht="17">
      <c r="A1281" s="15">
        <f t="shared" ca="1" si="56"/>
        <v>678</v>
      </c>
      <c r="B1281" s="16">
        <f t="shared" ca="1" si="57"/>
        <v>0.64319762083268861</v>
      </c>
      <c r="C1281" s="17">
        <f>IF(AND(問題解答データベース!D1281&gt;=小テスト!$C$6,D1281&lt;=小テスト!$E$6),1,0)</f>
        <v>1</v>
      </c>
      <c r="D1281" s="44">
        <f t="shared" si="58"/>
        <v>1280</v>
      </c>
      <c r="E1281" s="45" t="s">
        <v>1444</v>
      </c>
      <c r="F1281" s="46" t="s">
        <v>3192</v>
      </c>
    </row>
    <row r="1282" spans="1:6" ht="17">
      <c r="A1282" s="15">
        <f t="shared" ca="1" si="56"/>
        <v>1460</v>
      </c>
      <c r="B1282" s="16">
        <f t="shared" ca="1" si="57"/>
        <v>0.22747884120777129</v>
      </c>
      <c r="C1282" s="17">
        <f>IF(AND(問題解答データベース!D1282&gt;=小テスト!$C$6,D1282&lt;=小テスト!$E$6),1,0)</f>
        <v>1</v>
      </c>
      <c r="D1282" s="44">
        <f t="shared" si="58"/>
        <v>1281</v>
      </c>
      <c r="E1282" s="45" t="s">
        <v>1445</v>
      </c>
      <c r="F1282" s="46" t="s">
        <v>3193</v>
      </c>
    </row>
    <row r="1283" spans="1:6" ht="17">
      <c r="A1283" s="15">
        <f t="shared" ref="A1283:A1346" ca="1" si="59">RANK(B1283,$B$2:$B$1901,0)</f>
        <v>208</v>
      </c>
      <c r="B1283" s="16">
        <f t="shared" ca="1" si="57"/>
        <v>0.89858591931569731</v>
      </c>
      <c r="C1283" s="17">
        <f>IF(AND(問題解答データベース!D1283&gt;=小テスト!$C$6,D1283&lt;=小テスト!$E$6),1,0)</f>
        <v>1</v>
      </c>
      <c r="D1283" s="44">
        <f t="shared" si="58"/>
        <v>1282</v>
      </c>
      <c r="E1283" s="45" t="s">
        <v>1446</v>
      </c>
      <c r="F1283" s="46" t="s">
        <v>3194</v>
      </c>
    </row>
    <row r="1284" spans="1:6" ht="17">
      <c r="A1284" s="15">
        <f t="shared" ca="1" si="59"/>
        <v>51</v>
      </c>
      <c r="B1284" s="16">
        <f t="shared" ca="1" si="57"/>
        <v>0.97190628297439119</v>
      </c>
      <c r="C1284" s="17">
        <f>IF(AND(問題解答データベース!D1284&gt;=小テスト!$C$6,D1284&lt;=小テスト!$E$6),1,0)</f>
        <v>1</v>
      </c>
      <c r="D1284" s="44">
        <f t="shared" si="58"/>
        <v>1283</v>
      </c>
      <c r="E1284" s="45" t="s">
        <v>1447</v>
      </c>
      <c r="F1284" s="46" t="s">
        <v>3195</v>
      </c>
    </row>
    <row r="1285" spans="1:6" ht="17">
      <c r="A1285" s="15">
        <f t="shared" ca="1" si="59"/>
        <v>1613</v>
      </c>
      <c r="B1285" s="16">
        <f t="shared" ca="1" si="57"/>
        <v>0.15152572307711432</v>
      </c>
      <c r="C1285" s="17">
        <f>IF(AND(問題解答データベース!D1285&gt;=小テスト!$C$6,D1285&lt;=小テスト!$E$6),1,0)</f>
        <v>1</v>
      </c>
      <c r="D1285" s="44">
        <f t="shared" si="58"/>
        <v>1284</v>
      </c>
      <c r="E1285" s="45" t="s">
        <v>1448</v>
      </c>
      <c r="F1285" s="46" t="s">
        <v>3196</v>
      </c>
    </row>
    <row r="1286" spans="1:6" ht="17">
      <c r="A1286" s="15">
        <f t="shared" ca="1" si="59"/>
        <v>902</v>
      </c>
      <c r="B1286" s="16">
        <f t="shared" ca="1" si="57"/>
        <v>0.52164399550793683</v>
      </c>
      <c r="C1286" s="17">
        <f>IF(AND(問題解答データベース!D1286&gt;=小テスト!$C$6,D1286&lt;=小テスト!$E$6),1,0)</f>
        <v>1</v>
      </c>
      <c r="D1286" s="44">
        <f t="shared" si="58"/>
        <v>1285</v>
      </c>
      <c r="E1286" s="45" t="s">
        <v>1449</v>
      </c>
      <c r="F1286" s="46" t="s">
        <v>3197</v>
      </c>
    </row>
    <row r="1287" spans="1:6" ht="17">
      <c r="A1287" s="15">
        <f t="shared" ca="1" si="59"/>
        <v>915</v>
      </c>
      <c r="B1287" s="16">
        <f t="shared" ca="1" si="57"/>
        <v>0.51673984802661876</v>
      </c>
      <c r="C1287" s="17">
        <f>IF(AND(問題解答データベース!D1287&gt;=小テスト!$C$6,D1287&lt;=小テスト!$E$6),1,0)</f>
        <v>1</v>
      </c>
      <c r="D1287" s="44">
        <f t="shared" si="58"/>
        <v>1286</v>
      </c>
      <c r="E1287" s="45" t="s">
        <v>1450</v>
      </c>
      <c r="F1287" s="46" t="s">
        <v>3198</v>
      </c>
    </row>
    <row r="1288" spans="1:6" ht="17">
      <c r="A1288" s="15">
        <f t="shared" ca="1" si="59"/>
        <v>993</v>
      </c>
      <c r="B1288" s="16">
        <f t="shared" ca="1" si="57"/>
        <v>0.48071953783128785</v>
      </c>
      <c r="C1288" s="17">
        <f>IF(AND(問題解答データベース!D1288&gt;=小テスト!$C$6,D1288&lt;=小テスト!$E$6),1,0)</f>
        <v>1</v>
      </c>
      <c r="D1288" s="44">
        <f t="shared" si="58"/>
        <v>1287</v>
      </c>
      <c r="E1288" s="45" t="s">
        <v>1451</v>
      </c>
      <c r="F1288" s="46" t="s">
        <v>3199</v>
      </c>
    </row>
    <row r="1289" spans="1:6" ht="17">
      <c r="A1289" s="15">
        <f t="shared" ca="1" si="59"/>
        <v>947</v>
      </c>
      <c r="B1289" s="16">
        <f t="shared" ca="1" si="57"/>
        <v>0.50169737823009419</v>
      </c>
      <c r="C1289" s="17">
        <f>IF(AND(問題解答データベース!D1289&gt;=小テスト!$C$6,D1289&lt;=小テスト!$E$6),1,0)</f>
        <v>1</v>
      </c>
      <c r="D1289" s="44">
        <f t="shared" si="58"/>
        <v>1288</v>
      </c>
      <c r="E1289" s="45" t="s">
        <v>1452</v>
      </c>
      <c r="F1289" s="46" t="s">
        <v>3200</v>
      </c>
    </row>
    <row r="1290" spans="1:6" ht="17">
      <c r="A1290" s="15">
        <f t="shared" ca="1" si="59"/>
        <v>498</v>
      </c>
      <c r="B1290" s="16">
        <f t="shared" ref="B1290:B1353" ca="1" si="60">IF(C1290=1,RAND(),0)</f>
        <v>0.74086982347315566</v>
      </c>
      <c r="C1290" s="17">
        <f>IF(AND(問題解答データベース!D1290&gt;=小テスト!$C$6,D1290&lt;=小テスト!$E$6),1,0)</f>
        <v>1</v>
      </c>
      <c r="D1290" s="44">
        <f t="shared" si="58"/>
        <v>1289</v>
      </c>
      <c r="E1290" s="45" t="s">
        <v>1453</v>
      </c>
      <c r="F1290" s="46" t="s">
        <v>3201</v>
      </c>
    </row>
    <row r="1291" spans="1:6" ht="17">
      <c r="A1291" s="15">
        <f t="shared" ca="1" si="59"/>
        <v>36</v>
      </c>
      <c r="B1291" s="16">
        <f t="shared" ca="1" si="60"/>
        <v>0.98002183706296819</v>
      </c>
      <c r="C1291" s="17">
        <f>IF(AND(問題解答データベース!D1291&gt;=小テスト!$C$6,D1291&lt;=小テスト!$E$6),1,0)</f>
        <v>1</v>
      </c>
      <c r="D1291" s="44">
        <f t="shared" si="58"/>
        <v>1290</v>
      </c>
      <c r="E1291" s="45" t="s">
        <v>1454</v>
      </c>
      <c r="F1291" s="46" t="s">
        <v>3202</v>
      </c>
    </row>
    <row r="1292" spans="1:6" ht="17">
      <c r="A1292" s="15">
        <f t="shared" ca="1" si="59"/>
        <v>1038</v>
      </c>
      <c r="B1292" s="16">
        <f t="shared" ca="1" si="60"/>
        <v>0.4635922775246486</v>
      </c>
      <c r="C1292" s="17">
        <f>IF(AND(問題解答データベース!D1292&gt;=小テスト!$C$6,D1292&lt;=小テスト!$E$6),1,0)</f>
        <v>1</v>
      </c>
      <c r="D1292" s="44">
        <f t="shared" si="58"/>
        <v>1291</v>
      </c>
      <c r="E1292" s="45" t="s">
        <v>1455</v>
      </c>
      <c r="F1292" s="46" t="s">
        <v>3203</v>
      </c>
    </row>
    <row r="1293" spans="1:6" ht="17">
      <c r="A1293" s="15">
        <f t="shared" ca="1" si="59"/>
        <v>1749</v>
      </c>
      <c r="B1293" s="16">
        <f t="shared" ca="1" si="60"/>
        <v>7.5504539309535934E-2</v>
      </c>
      <c r="C1293" s="17">
        <f>IF(AND(問題解答データベース!D1293&gt;=小テスト!$C$6,D1293&lt;=小テスト!$E$6),1,0)</f>
        <v>1</v>
      </c>
      <c r="D1293" s="44">
        <f t="shared" si="58"/>
        <v>1292</v>
      </c>
      <c r="E1293" s="45" t="s">
        <v>1456</v>
      </c>
      <c r="F1293" s="46" t="s">
        <v>3204</v>
      </c>
    </row>
    <row r="1294" spans="1:6" ht="17">
      <c r="A1294" s="15">
        <f t="shared" ca="1" si="59"/>
        <v>705</v>
      </c>
      <c r="B1294" s="16">
        <f t="shared" ca="1" si="60"/>
        <v>0.62486196926457815</v>
      </c>
      <c r="C1294" s="17">
        <f>IF(AND(問題解答データベース!D1294&gt;=小テスト!$C$6,D1294&lt;=小テスト!$E$6),1,0)</f>
        <v>1</v>
      </c>
      <c r="D1294" s="44">
        <f t="shared" si="58"/>
        <v>1293</v>
      </c>
      <c r="E1294" s="45" t="s">
        <v>1457</v>
      </c>
      <c r="F1294" s="46" t="s">
        <v>3205</v>
      </c>
    </row>
    <row r="1295" spans="1:6" ht="17">
      <c r="A1295" s="15">
        <f t="shared" ca="1" si="59"/>
        <v>650</v>
      </c>
      <c r="B1295" s="16">
        <f t="shared" ca="1" si="60"/>
        <v>0.6580505449207078</v>
      </c>
      <c r="C1295" s="17">
        <f>IF(AND(問題解答データベース!D1295&gt;=小テスト!$C$6,D1295&lt;=小テスト!$E$6),1,0)</f>
        <v>1</v>
      </c>
      <c r="D1295" s="44">
        <f t="shared" si="58"/>
        <v>1294</v>
      </c>
      <c r="E1295" s="45" t="s">
        <v>1458</v>
      </c>
      <c r="F1295" s="46" t="s">
        <v>3206</v>
      </c>
    </row>
    <row r="1296" spans="1:6" ht="17">
      <c r="A1296" s="15">
        <f t="shared" ca="1" si="59"/>
        <v>596</v>
      </c>
      <c r="B1296" s="16">
        <f t="shared" ca="1" si="60"/>
        <v>0.68584835762424023</v>
      </c>
      <c r="C1296" s="17">
        <f>IF(AND(問題解答データベース!D1296&gt;=小テスト!$C$6,D1296&lt;=小テスト!$E$6),1,0)</f>
        <v>1</v>
      </c>
      <c r="D1296" s="44">
        <f t="shared" si="58"/>
        <v>1295</v>
      </c>
      <c r="E1296" s="45" t="s">
        <v>1459</v>
      </c>
      <c r="F1296" s="46" t="s">
        <v>3207</v>
      </c>
    </row>
    <row r="1297" spans="1:6" ht="17">
      <c r="A1297" s="15">
        <f t="shared" ca="1" si="59"/>
        <v>1337</v>
      </c>
      <c r="B1297" s="16">
        <f t="shared" ca="1" si="60"/>
        <v>0.29882041069767473</v>
      </c>
      <c r="C1297" s="17">
        <f>IF(AND(問題解答データベース!D1297&gt;=小テスト!$C$6,D1297&lt;=小テスト!$E$6),1,0)</f>
        <v>1</v>
      </c>
      <c r="D1297" s="44">
        <f t="shared" si="58"/>
        <v>1296</v>
      </c>
      <c r="E1297" s="45" t="s">
        <v>1460</v>
      </c>
      <c r="F1297" s="46" t="s">
        <v>3208</v>
      </c>
    </row>
    <row r="1298" spans="1:6" ht="17">
      <c r="A1298" s="15">
        <f t="shared" ca="1" si="59"/>
        <v>87</v>
      </c>
      <c r="B1298" s="16">
        <f t="shared" ca="1" si="60"/>
        <v>0.95802406630837922</v>
      </c>
      <c r="C1298" s="17">
        <f>IF(AND(問題解答データベース!D1298&gt;=小テスト!$C$6,D1298&lt;=小テスト!$E$6),1,0)</f>
        <v>1</v>
      </c>
      <c r="D1298" s="44">
        <f t="shared" si="58"/>
        <v>1297</v>
      </c>
      <c r="E1298" s="45" t="s">
        <v>1461</v>
      </c>
      <c r="F1298" s="46" t="s">
        <v>3209</v>
      </c>
    </row>
    <row r="1299" spans="1:6" ht="17">
      <c r="A1299" s="15">
        <f t="shared" ca="1" si="59"/>
        <v>1472</v>
      </c>
      <c r="B1299" s="16">
        <f t="shared" ca="1" si="60"/>
        <v>0.22223941384002632</v>
      </c>
      <c r="C1299" s="17">
        <f>IF(AND(問題解答データベース!D1299&gt;=小テスト!$C$6,D1299&lt;=小テスト!$E$6),1,0)</f>
        <v>1</v>
      </c>
      <c r="D1299" s="44">
        <f t="shared" si="58"/>
        <v>1298</v>
      </c>
      <c r="E1299" s="45" t="s">
        <v>1462</v>
      </c>
      <c r="F1299" s="46" t="s">
        <v>3210</v>
      </c>
    </row>
    <row r="1300" spans="1:6" ht="17">
      <c r="A1300" s="15">
        <f t="shared" ca="1" si="59"/>
        <v>71</v>
      </c>
      <c r="B1300" s="16">
        <f t="shared" ca="1" si="60"/>
        <v>0.96507292419298518</v>
      </c>
      <c r="C1300" s="17">
        <f>IF(AND(問題解答データベース!D1300&gt;=小テスト!$C$6,D1300&lt;=小テスト!$E$6),1,0)</f>
        <v>1</v>
      </c>
      <c r="D1300" s="44">
        <f t="shared" si="58"/>
        <v>1299</v>
      </c>
      <c r="E1300" s="45" t="s">
        <v>1463</v>
      </c>
      <c r="F1300" s="46" t="s">
        <v>3211</v>
      </c>
    </row>
    <row r="1301" spans="1:6" ht="17">
      <c r="A1301" s="15">
        <f t="shared" ca="1" si="59"/>
        <v>495</v>
      </c>
      <c r="B1301" s="16">
        <f t="shared" ca="1" si="60"/>
        <v>0.74160131436761911</v>
      </c>
      <c r="C1301" s="17">
        <f>IF(AND(問題解答データベース!D1301&gt;=小テスト!$C$6,D1301&lt;=小テスト!$E$6),1,0)</f>
        <v>1</v>
      </c>
      <c r="D1301" s="44">
        <f t="shared" si="58"/>
        <v>1300</v>
      </c>
      <c r="E1301" s="45" t="s">
        <v>1464</v>
      </c>
      <c r="F1301" s="46" t="s">
        <v>3212</v>
      </c>
    </row>
    <row r="1302" spans="1:6" ht="17">
      <c r="A1302" s="15">
        <f t="shared" ca="1" si="59"/>
        <v>1680</v>
      </c>
      <c r="B1302" s="16">
        <f t="shared" ca="1" si="60"/>
        <v>0.11146450430571198</v>
      </c>
      <c r="C1302" s="17">
        <f>IF(AND(問題解答データベース!D1302&gt;=小テスト!$C$6,D1302&lt;=小テスト!$E$6),1,0)</f>
        <v>1</v>
      </c>
      <c r="D1302" s="44">
        <f t="shared" si="58"/>
        <v>1301</v>
      </c>
      <c r="E1302" s="45" t="s">
        <v>1465</v>
      </c>
      <c r="F1302" s="46" t="s">
        <v>3213</v>
      </c>
    </row>
    <row r="1303" spans="1:6" ht="17">
      <c r="A1303" s="15">
        <f t="shared" ca="1" si="59"/>
        <v>1791</v>
      </c>
      <c r="B1303" s="16">
        <f t="shared" ca="1" si="60"/>
        <v>5.3160849644584673E-2</v>
      </c>
      <c r="C1303" s="17">
        <f>IF(AND(問題解答データベース!D1303&gt;=小テスト!$C$6,D1303&lt;=小テスト!$E$6),1,0)</f>
        <v>1</v>
      </c>
      <c r="D1303" s="44">
        <f t="shared" si="58"/>
        <v>1302</v>
      </c>
      <c r="E1303" s="45" t="s">
        <v>1466</v>
      </c>
      <c r="F1303" s="46" t="s">
        <v>3214</v>
      </c>
    </row>
    <row r="1304" spans="1:6" ht="17">
      <c r="A1304" s="15">
        <f t="shared" ca="1" si="59"/>
        <v>1829</v>
      </c>
      <c r="B1304" s="16">
        <f t="shared" ca="1" si="60"/>
        <v>3.5335945126618085E-2</v>
      </c>
      <c r="C1304" s="17">
        <f>IF(AND(問題解答データベース!D1304&gt;=小テスト!$C$6,D1304&lt;=小テスト!$E$6),1,0)</f>
        <v>1</v>
      </c>
      <c r="D1304" s="44">
        <f t="shared" si="58"/>
        <v>1303</v>
      </c>
      <c r="E1304" s="45" t="s">
        <v>1467</v>
      </c>
      <c r="F1304" s="46" t="s">
        <v>3215</v>
      </c>
    </row>
    <row r="1305" spans="1:6" ht="17">
      <c r="A1305" s="15">
        <f t="shared" ca="1" si="59"/>
        <v>1828</v>
      </c>
      <c r="B1305" s="16">
        <f t="shared" ca="1" si="60"/>
        <v>3.5506371518034818E-2</v>
      </c>
      <c r="C1305" s="17">
        <f>IF(AND(問題解答データベース!D1305&gt;=小テスト!$C$6,D1305&lt;=小テスト!$E$6),1,0)</f>
        <v>1</v>
      </c>
      <c r="D1305" s="44">
        <f t="shared" si="58"/>
        <v>1304</v>
      </c>
      <c r="E1305" s="45" t="s">
        <v>1468</v>
      </c>
      <c r="F1305" s="46" t="s">
        <v>3216</v>
      </c>
    </row>
    <row r="1306" spans="1:6" ht="17">
      <c r="A1306" s="15">
        <f t="shared" ca="1" si="59"/>
        <v>1747</v>
      </c>
      <c r="B1306" s="16">
        <f t="shared" ca="1" si="60"/>
        <v>7.6324096997792301E-2</v>
      </c>
      <c r="C1306" s="17">
        <f>IF(AND(問題解答データベース!D1306&gt;=小テスト!$C$6,D1306&lt;=小テスト!$E$6),1,0)</f>
        <v>1</v>
      </c>
      <c r="D1306" s="44">
        <f t="shared" si="58"/>
        <v>1305</v>
      </c>
      <c r="E1306" s="45" t="s">
        <v>1469</v>
      </c>
      <c r="F1306" s="46" t="s">
        <v>3217</v>
      </c>
    </row>
    <row r="1307" spans="1:6" ht="17">
      <c r="A1307" s="15">
        <f t="shared" ca="1" si="59"/>
        <v>1151</v>
      </c>
      <c r="B1307" s="16">
        <f t="shared" ca="1" si="60"/>
        <v>0.3961680796849737</v>
      </c>
      <c r="C1307" s="17">
        <f>IF(AND(問題解答データベース!D1307&gt;=小テスト!$C$6,D1307&lt;=小テスト!$E$6),1,0)</f>
        <v>1</v>
      </c>
      <c r="D1307" s="44">
        <f t="shared" si="58"/>
        <v>1306</v>
      </c>
      <c r="E1307" s="45" t="s">
        <v>1470</v>
      </c>
      <c r="F1307" s="46" t="s">
        <v>3218</v>
      </c>
    </row>
    <row r="1308" spans="1:6" ht="17">
      <c r="A1308" s="15">
        <f t="shared" ca="1" si="59"/>
        <v>74</v>
      </c>
      <c r="B1308" s="16">
        <f t="shared" ca="1" si="60"/>
        <v>0.96454441912102884</v>
      </c>
      <c r="C1308" s="17">
        <f>IF(AND(問題解答データベース!D1308&gt;=小テスト!$C$6,D1308&lt;=小テスト!$E$6),1,0)</f>
        <v>1</v>
      </c>
      <c r="D1308" s="44">
        <f t="shared" ref="D1308:D1371" si="61">D1307+1</f>
        <v>1307</v>
      </c>
      <c r="E1308" s="45" t="s">
        <v>1471</v>
      </c>
      <c r="F1308" s="46" t="s">
        <v>3219</v>
      </c>
    </row>
    <row r="1309" spans="1:6" ht="17">
      <c r="A1309" s="15">
        <f t="shared" ca="1" si="59"/>
        <v>421</v>
      </c>
      <c r="B1309" s="16">
        <f t="shared" ca="1" si="60"/>
        <v>0.77557973712487749</v>
      </c>
      <c r="C1309" s="17">
        <f>IF(AND(問題解答データベース!D1309&gt;=小テスト!$C$6,D1309&lt;=小テスト!$E$6),1,0)</f>
        <v>1</v>
      </c>
      <c r="D1309" s="44">
        <f t="shared" si="61"/>
        <v>1308</v>
      </c>
      <c r="E1309" s="45" t="s">
        <v>1472</v>
      </c>
      <c r="F1309" s="46" t="s">
        <v>3220</v>
      </c>
    </row>
    <row r="1310" spans="1:6" ht="17">
      <c r="A1310" s="15">
        <f t="shared" ca="1" si="59"/>
        <v>169</v>
      </c>
      <c r="B1310" s="16">
        <f t="shared" ca="1" si="60"/>
        <v>0.91868551938508758</v>
      </c>
      <c r="C1310" s="17">
        <f>IF(AND(問題解答データベース!D1310&gt;=小テスト!$C$6,D1310&lt;=小テスト!$E$6),1,0)</f>
        <v>1</v>
      </c>
      <c r="D1310" s="44">
        <f t="shared" si="61"/>
        <v>1309</v>
      </c>
      <c r="E1310" s="45" t="s">
        <v>1473</v>
      </c>
      <c r="F1310" s="46" t="s">
        <v>3221</v>
      </c>
    </row>
    <row r="1311" spans="1:6" ht="17">
      <c r="A1311" s="15">
        <f t="shared" ca="1" si="59"/>
        <v>1475</v>
      </c>
      <c r="B1311" s="16">
        <f t="shared" ca="1" si="60"/>
        <v>0.22068305988017711</v>
      </c>
      <c r="C1311" s="17">
        <f>IF(AND(問題解答データベース!D1311&gt;=小テスト!$C$6,D1311&lt;=小テスト!$E$6),1,0)</f>
        <v>1</v>
      </c>
      <c r="D1311" s="44">
        <f t="shared" si="61"/>
        <v>1310</v>
      </c>
      <c r="E1311" s="45" t="s">
        <v>1474</v>
      </c>
      <c r="F1311" s="46" t="s">
        <v>3222</v>
      </c>
    </row>
    <row r="1312" spans="1:6" ht="17">
      <c r="A1312" s="15">
        <f t="shared" ca="1" si="59"/>
        <v>849</v>
      </c>
      <c r="B1312" s="16">
        <f t="shared" ca="1" si="60"/>
        <v>0.54941147085123054</v>
      </c>
      <c r="C1312" s="17">
        <f>IF(AND(問題解答データベース!D1312&gt;=小テスト!$C$6,D1312&lt;=小テスト!$E$6),1,0)</f>
        <v>1</v>
      </c>
      <c r="D1312" s="44">
        <f t="shared" si="61"/>
        <v>1311</v>
      </c>
      <c r="E1312" s="45" t="s">
        <v>1475</v>
      </c>
      <c r="F1312" s="46" t="s">
        <v>3223</v>
      </c>
    </row>
    <row r="1313" spans="1:6" ht="17">
      <c r="A1313" s="15">
        <f t="shared" ca="1" si="59"/>
        <v>1287</v>
      </c>
      <c r="B1313" s="16">
        <f t="shared" ca="1" si="60"/>
        <v>0.32803196563350523</v>
      </c>
      <c r="C1313" s="17">
        <f>IF(AND(問題解答データベース!D1313&gt;=小テスト!$C$6,D1313&lt;=小テスト!$E$6),1,0)</f>
        <v>1</v>
      </c>
      <c r="D1313" s="44">
        <f t="shared" si="61"/>
        <v>1312</v>
      </c>
      <c r="E1313" s="45" t="s">
        <v>1476</v>
      </c>
      <c r="F1313" s="46" t="s">
        <v>3224</v>
      </c>
    </row>
    <row r="1314" spans="1:6" ht="17">
      <c r="A1314" s="15">
        <f t="shared" ca="1" si="59"/>
        <v>371</v>
      </c>
      <c r="B1314" s="16">
        <f t="shared" ca="1" si="60"/>
        <v>0.80199707738941606</v>
      </c>
      <c r="C1314" s="17">
        <f>IF(AND(問題解答データベース!D1314&gt;=小テスト!$C$6,D1314&lt;=小テスト!$E$6),1,0)</f>
        <v>1</v>
      </c>
      <c r="D1314" s="44">
        <f t="shared" si="61"/>
        <v>1313</v>
      </c>
      <c r="E1314" s="45" t="s">
        <v>1477</v>
      </c>
      <c r="F1314" s="46" t="s">
        <v>3225</v>
      </c>
    </row>
    <row r="1315" spans="1:6" ht="17">
      <c r="A1315" s="15">
        <f t="shared" ca="1" si="59"/>
        <v>508</v>
      </c>
      <c r="B1315" s="16">
        <f t="shared" ca="1" si="60"/>
        <v>0.73619016102243229</v>
      </c>
      <c r="C1315" s="17">
        <f>IF(AND(問題解答データベース!D1315&gt;=小テスト!$C$6,D1315&lt;=小テスト!$E$6),1,0)</f>
        <v>1</v>
      </c>
      <c r="D1315" s="44">
        <f t="shared" si="61"/>
        <v>1314</v>
      </c>
      <c r="E1315" s="45" t="s">
        <v>1478</v>
      </c>
      <c r="F1315" s="46" t="s">
        <v>3226</v>
      </c>
    </row>
    <row r="1316" spans="1:6" ht="17">
      <c r="A1316" s="15">
        <f t="shared" ca="1" si="59"/>
        <v>1586</v>
      </c>
      <c r="B1316" s="16">
        <f t="shared" ca="1" si="60"/>
        <v>0.16318051102539122</v>
      </c>
      <c r="C1316" s="17">
        <f>IF(AND(問題解答データベース!D1316&gt;=小テスト!$C$6,D1316&lt;=小テスト!$E$6),1,0)</f>
        <v>1</v>
      </c>
      <c r="D1316" s="44">
        <f t="shared" si="61"/>
        <v>1315</v>
      </c>
      <c r="E1316" s="45" t="s">
        <v>1479</v>
      </c>
      <c r="F1316" s="46" t="s">
        <v>3227</v>
      </c>
    </row>
    <row r="1317" spans="1:6" ht="17">
      <c r="A1317" s="15">
        <f t="shared" ca="1" si="59"/>
        <v>1683</v>
      </c>
      <c r="B1317" s="16">
        <f t="shared" ca="1" si="60"/>
        <v>0.10968853532620582</v>
      </c>
      <c r="C1317" s="17">
        <f>IF(AND(問題解答データベース!D1317&gt;=小テスト!$C$6,D1317&lt;=小テスト!$E$6),1,0)</f>
        <v>1</v>
      </c>
      <c r="D1317" s="44">
        <f t="shared" si="61"/>
        <v>1316</v>
      </c>
      <c r="E1317" s="45" t="s">
        <v>1480</v>
      </c>
      <c r="F1317" s="46" t="s">
        <v>3228</v>
      </c>
    </row>
    <row r="1318" spans="1:6" ht="17">
      <c r="A1318" s="15">
        <f t="shared" ca="1" si="59"/>
        <v>358</v>
      </c>
      <c r="B1318" s="16">
        <f t="shared" ca="1" si="60"/>
        <v>0.8080587662773655</v>
      </c>
      <c r="C1318" s="17">
        <f>IF(AND(問題解答データベース!D1318&gt;=小テスト!$C$6,D1318&lt;=小テスト!$E$6),1,0)</f>
        <v>1</v>
      </c>
      <c r="D1318" s="44">
        <f t="shared" si="61"/>
        <v>1317</v>
      </c>
      <c r="E1318" s="45" t="s">
        <v>1481</v>
      </c>
      <c r="F1318" s="46" t="s">
        <v>3229</v>
      </c>
    </row>
    <row r="1319" spans="1:6" ht="17">
      <c r="A1319" s="15">
        <f t="shared" ca="1" si="59"/>
        <v>1810</v>
      </c>
      <c r="B1319" s="16">
        <f t="shared" ca="1" si="60"/>
        <v>4.3321639411288082E-2</v>
      </c>
      <c r="C1319" s="17">
        <f>IF(AND(問題解答データベース!D1319&gt;=小テスト!$C$6,D1319&lt;=小テスト!$E$6),1,0)</f>
        <v>1</v>
      </c>
      <c r="D1319" s="44">
        <f t="shared" si="61"/>
        <v>1318</v>
      </c>
      <c r="E1319" s="45" t="s">
        <v>1482</v>
      </c>
      <c r="F1319" s="46" t="s">
        <v>3230</v>
      </c>
    </row>
    <row r="1320" spans="1:6" ht="17">
      <c r="A1320" s="15">
        <f t="shared" ca="1" si="59"/>
        <v>831</v>
      </c>
      <c r="B1320" s="16">
        <f t="shared" ca="1" si="60"/>
        <v>0.55699549686163763</v>
      </c>
      <c r="C1320" s="17">
        <f>IF(AND(問題解答データベース!D1320&gt;=小テスト!$C$6,D1320&lt;=小テスト!$E$6),1,0)</f>
        <v>1</v>
      </c>
      <c r="D1320" s="44">
        <f t="shared" si="61"/>
        <v>1319</v>
      </c>
      <c r="E1320" s="45" t="s">
        <v>1483</v>
      </c>
      <c r="F1320" s="46" t="s">
        <v>3231</v>
      </c>
    </row>
    <row r="1321" spans="1:6" ht="17">
      <c r="A1321" s="15">
        <f t="shared" ca="1" si="59"/>
        <v>795</v>
      </c>
      <c r="B1321" s="16">
        <f t="shared" ca="1" si="60"/>
        <v>0.57883342201035082</v>
      </c>
      <c r="C1321" s="17">
        <f>IF(AND(問題解答データベース!D1321&gt;=小テスト!$C$6,D1321&lt;=小テスト!$E$6),1,0)</f>
        <v>1</v>
      </c>
      <c r="D1321" s="44">
        <f t="shared" si="61"/>
        <v>1320</v>
      </c>
      <c r="E1321" s="45" t="s">
        <v>1484</v>
      </c>
      <c r="F1321" s="46" t="s">
        <v>3232</v>
      </c>
    </row>
    <row r="1322" spans="1:6" ht="17">
      <c r="A1322" s="15">
        <f t="shared" ca="1" si="59"/>
        <v>467</v>
      </c>
      <c r="B1322" s="16">
        <f t="shared" ca="1" si="60"/>
        <v>0.75861954362616746</v>
      </c>
      <c r="C1322" s="17">
        <f>IF(AND(問題解答データベース!D1322&gt;=小テスト!$C$6,D1322&lt;=小テスト!$E$6),1,0)</f>
        <v>1</v>
      </c>
      <c r="D1322" s="44">
        <f t="shared" si="61"/>
        <v>1321</v>
      </c>
      <c r="E1322" s="45" t="s">
        <v>1485</v>
      </c>
      <c r="F1322" s="46" t="s">
        <v>3233</v>
      </c>
    </row>
    <row r="1323" spans="1:6" ht="17">
      <c r="A1323" s="15">
        <f t="shared" ca="1" si="59"/>
        <v>684</v>
      </c>
      <c r="B1323" s="16">
        <f t="shared" ca="1" si="60"/>
        <v>0.63701100795204513</v>
      </c>
      <c r="C1323" s="17">
        <f>IF(AND(問題解答データベース!D1323&gt;=小テスト!$C$6,D1323&lt;=小テスト!$E$6),1,0)</f>
        <v>1</v>
      </c>
      <c r="D1323" s="44">
        <f t="shared" si="61"/>
        <v>1322</v>
      </c>
      <c r="E1323" s="45" t="s">
        <v>1486</v>
      </c>
      <c r="F1323" s="46" t="s">
        <v>3234</v>
      </c>
    </row>
    <row r="1324" spans="1:6" ht="17">
      <c r="A1324" s="15">
        <f t="shared" ca="1" si="59"/>
        <v>1257</v>
      </c>
      <c r="B1324" s="16">
        <f t="shared" ca="1" si="60"/>
        <v>0.34680917882121343</v>
      </c>
      <c r="C1324" s="17">
        <f>IF(AND(問題解答データベース!D1324&gt;=小テスト!$C$6,D1324&lt;=小テスト!$E$6),1,0)</f>
        <v>1</v>
      </c>
      <c r="D1324" s="44">
        <f t="shared" si="61"/>
        <v>1323</v>
      </c>
      <c r="E1324" s="45" t="s">
        <v>1487</v>
      </c>
      <c r="F1324" s="46" t="s">
        <v>3235</v>
      </c>
    </row>
    <row r="1325" spans="1:6" ht="17">
      <c r="A1325" s="15">
        <f t="shared" ca="1" si="59"/>
        <v>539</v>
      </c>
      <c r="B1325" s="16">
        <f t="shared" ca="1" si="60"/>
        <v>0.71960468974647251</v>
      </c>
      <c r="C1325" s="17">
        <f>IF(AND(問題解答データベース!D1325&gt;=小テスト!$C$6,D1325&lt;=小テスト!$E$6),1,0)</f>
        <v>1</v>
      </c>
      <c r="D1325" s="44">
        <f t="shared" si="61"/>
        <v>1324</v>
      </c>
      <c r="E1325" s="45" t="s">
        <v>1488</v>
      </c>
      <c r="F1325" s="46" t="s">
        <v>3236</v>
      </c>
    </row>
    <row r="1326" spans="1:6" ht="17">
      <c r="A1326" s="15">
        <f t="shared" ca="1" si="59"/>
        <v>1575</v>
      </c>
      <c r="B1326" s="16">
        <f t="shared" ca="1" si="60"/>
        <v>0.16711489834100091</v>
      </c>
      <c r="C1326" s="17">
        <f>IF(AND(問題解答データベース!D1326&gt;=小テスト!$C$6,D1326&lt;=小テスト!$E$6),1,0)</f>
        <v>1</v>
      </c>
      <c r="D1326" s="44">
        <f t="shared" si="61"/>
        <v>1325</v>
      </c>
      <c r="E1326" s="45" t="s">
        <v>1489</v>
      </c>
      <c r="F1326" s="46" t="s">
        <v>3237</v>
      </c>
    </row>
    <row r="1327" spans="1:6" ht="17">
      <c r="A1327" s="15">
        <f t="shared" ca="1" si="59"/>
        <v>924</v>
      </c>
      <c r="B1327" s="16">
        <f t="shared" ca="1" si="60"/>
        <v>0.51347718762448102</v>
      </c>
      <c r="C1327" s="17">
        <f>IF(AND(問題解答データベース!D1327&gt;=小テスト!$C$6,D1327&lt;=小テスト!$E$6),1,0)</f>
        <v>1</v>
      </c>
      <c r="D1327" s="44">
        <f t="shared" si="61"/>
        <v>1326</v>
      </c>
      <c r="E1327" s="45" t="s">
        <v>1490</v>
      </c>
      <c r="F1327" s="46" t="s">
        <v>3238</v>
      </c>
    </row>
    <row r="1328" spans="1:6" ht="17">
      <c r="A1328" s="15">
        <f t="shared" ca="1" si="59"/>
        <v>1545</v>
      </c>
      <c r="B1328" s="16">
        <f t="shared" ca="1" si="60"/>
        <v>0.1814172297573835</v>
      </c>
      <c r="C1328" s="17">
        <f>IF(AND(問題解答データベース!D1328&gt;=小テスト!$C$6,D1328&lt;=小テスト!$E$6),1,0)</f>
        <v>1</v>
      </c>
      <c r="D1328" s="44">
        <f t="shared" si="61"/>
        <v>1327</v>
      </c>
      <c r="E1328" s="45" t="s">
        <v>1491</v>
      </c>
      <c r="F1328" s="46" t="s">
        <v>3239</v>
      </c>
    </row>
    <row r="1329" spans="1:6" ht="17">
      <c r="A1329" s="15">
        <f t="shared" ca="1" si="59"/>
        <v>516</v>
      </c>
      <c r="B1329" s="16">
        <f t="shared" ca="1" si="60"/>
        <v>0.73422645461752201</v>
      </c>
      <c r="C1329" s="17">
        <f>IF(AND(問題解答データベース!D1329&gt;=小テスト!$C$6,D1329&lt;=小テスト!$E$6),1,0)</f>
        <v>1</v>
      </c>
      <c r="D1329" s="44">
        <f t="shared" si="61"/>
        <v>1328</v>
      </c>
      <c r="E1329" s="45" t="s">
        <v>1492</v>
      </c>
      <c r="F1329" s="46" t="s">
        <v>3240</v>
      </c>
    </row>
    <row r="1330" spans="1:6" ht="17">
      <c r="A1330" s="15">
        <f t="shared" ca="1" si="59"/>
        <v>1692</v>
      </c>
      <c r="B1330" s="16">
        <f t="shared" ca="1" si="60"/>
        <v>0.10498143781390412</v>
      </c>
      <c r="C1330" s="17">
        <f>IF(AND(問題解答データベース!D1330&gt;=小テスト!$C$6,D1330&lt;=小テスト!$E$6),1,0)</f>
        <v>1</v>
      </c>
      <c r="D1330" s="44">
        <f t="shared" si="61"/>
        <v>1329</v>
      </c>
      <c r="E1330" s="45" t="s">
        <v>1493</v>
      </c>
      <c r="F1330" s="46" t="s">
        <v>3241</v>
      </c>
    </row>
    <row r="1331" spans="1:6" ht="17">
      <c r="A1331" s="15">
        <f t="shared" ca="1" si="59"/>
        <v>1762</v>
      </c>
      <c r="B1331" s="16">
        <f t="shared" ca="1" si="60"/>
        <v>6.7612163992128105E-2</v>
      </c>
      <c r="C1331" s="17">
        <f>IF(AND(問題解答データベース!D1331&gt;=小テスト!$C$6,D1331&lt;=小テスト!$E$6),1,0)</f>
        <v>1</v>
      </c>
      <c r="D1331" s="44">
        <f t="shared" si="61"/>
        <v>1330</v>
      </c>
      <c r="E1331" s="45" t="s">
        <v>1494</v>
      </c>
      <c r="F1331" s="46" t="s">
        <v>3242</v>
      </c>
    </row>
    <row r="1332" spans="1:6" ht="17">
      <c r="A1332" s="15">
        <f t="shared" ca="1" si="59"/>
        <v>439</v>
      </c>
      <c r="B1332" s="16">
        <f t="shared" ca="1" si="60"/>
        <v>0.76782218494697063</v>
      </c>
      <c r="C1332" s="17">
        <f>IF(AND(問題解答データベース!D1332&gt;=小テスト!$C$6,D1332&lt;=小テスト!$E$6),1,0)</f>
        <v>1</v>
      </c>
      <c r="D1332" s="44">
        <f t="shared" si="61"/>
        <v>1331</v>
      </c>
      <c r="E1332" s="45" t="s">
        <v>1495</v>
      </c>
      <c r="F1332" s="46" t="s">
        <v>3243</v>
      </c>
    </row>
    <row r="1333" spans="1:6" ht="17">
      <c r="A1333" s="15">
        <f t="shared" ca="1" si="59"/>
        <v>1285</v>
      </c>
      <c r="B1333" s="16">
        <f t="shared" ca="1" si="60"/>
        <v>0.32907997132600852</v>
      </c>
      <c r="C1333" s="17">
        <f>IF(AND(問題解答データベース!D1333&gt;=小テスト!$C$6,D1333&lt;=小テスト!$E$6),1,0)</f>
        <v>1</v>
      </c>
      <c r="D1333" s="44">
        <f t="shared" si="61"/>
        <v>1332</v>
      </c>
      <c r="E1333" s="45" t="s">
        <v>1496</v>
      </c>
      <c r="F1333" s="46" t="s">
        <v>3244</v>
      </c>
    </row>
    <row r="1334" spans="1:6" ht="17">
      <c r="A1334" s="15">
        <f t="shared" ca="1" si="59"/>
        <v>136</v>
      </c>
      <c r="B1334" s="16">
        <f t="shared" ca="1" si="60"/>
        <v>0.93512560412332746</v>
      </c>
      <c r="C1334" s="17">
        <f>IF(AND(問題解答データベース!D1334&gt;=小テスト!$C$6,D1334&lt;=小テスト!$E$6),1,0)</f>
        <v>1</v>
      </c>
      <c r="D1334" s="44">
        <f t="shared" si="61"/>
        <v>1333</v>
      </c>
      <c r="E1334" s="45" t="s">
        <v>1497</v>
      </c>
      <c r="F1334" s="46" t="s">
        <v>3245</v>
      </c>
    </row>
    <row r="1335" spans="1:6" ht="17">
      <c r="A1335" s="15">
        <f t="shared" ca="1" si="59"/>
        <v>285</v>
      </c>
      <c r="B1335" s="16">
        <f t="shared" ca="1" si="60"/>
        <v>0.85296754694607024</v>
      </c>
      <c r="C1335" s="17">
        <f>IF(AND(問題解答データベース!D1335&gt;=小テスト!$C$6,D1335&lt;=小テスト!$E$6),1,0)</f>
        <v>1</v>
      </c>
      <c r="D1335" s="44">
        <f t="shared" si="61"/>
        <v>1334</v>
      </c>
      <c r="E1335" s="45" t="s">
        <v>1498</v>
      </c>
      <c r="F1335" s="46" t="s">
        <v>3246</v>
      </c>
    </row>
    <row r="1336" spans="1:6" ht="17">
      <c r="A1336" s="15">
        <f t="shared" ca="1" si="59"/>
        <v>40</v>
      </c>
      <c r="B1336" s="16">
        <f t="shared" ca="1" si="60"/>
        <v>0.9787459549204548</v>
      </c>
      <c r="C1336" s="17">
        <f>IF(AND(問題解答データベース!D1336&gt;=小テスト!$C$6,D1336&lt;=小テスト!$E$6),1,0)</f>
        <v>1</v>
      </c>
      <c r="D1336" s="44">
        <f t="shared" si="61"/>
        <v>1335</v>
      </c>
      <c r="E1336" s="45" t="s">
        <v>1499</v>
      </c>
      <c r="F1336" s="46" t="s">
        <v>3247</v>
      </c>
    </row>
    <row r="1337" spans="1:6" ht="17">
      <c r="A1337" s="15">
        <f t="shared" ca="1" si="59"/>
        <v>1374</v>
      </c>
      <c r="B1337" s="16">
        <f t="shared" ca="1" si="60"/>
        <v>0.27789043998123464</v>
      </c>
      <c r="C1337" s="17">
        <f>IF(AND(問題解答データベース!D1337&gt;=小テスト!$C$6,D1337&lt;=小テスト!$E$6),1,0)</f>
        <v>1</v>
      </c>
      <c r="D1337" s="44">
        <f t="shared" si="61"/>
        <v>1336</v>
      </c>
      <c r="E1337" s="45" t="s">
        <v>1500</v>
      </c>
      <c r="F1337" s="46" t="s">
        <v>3248</v>
      </c>
    </row>
    <row r="1338" spans="1:6" ht="17">
      <c r="A1338" s="15">
        <f t="shared" ca="1" si="59"/>
        <v>907</v>
      </c>
      <c r="B1338" s="16">
        <f t="shared" ca="1" si="60"/>
        <v>0.52052178799655491</v>
      </c>
      <c r="C1338" s="17">
        <f>IF(AND(問題解答データベース!D1338&gt;=小テスト!$C$6,D1338&lt;=小テスト!$E$6),1,0)</f>
        <v>1</v>
      </c>
      <c r="D1338" s="44">
        <f t="shared" si="61"/>
        <v>1337</v>
      </c>
      <c r="E1338" s="45" t="s">
        <v>1501</v>
      </c>
      <c r="F1338" s="46" t="s">
        <v>3249</v>
      </c>
    </row>
    <row r="1339" spans="1:6" ht="17">
      <c r="A1339" s="15">
        <f t="shared" ca="1" si="59"/>
        <v>1459</v>
      </c>
      <c r="B1339" s="16">
        <f t="shared" ca="1" si="60"/>
        <v>0.22779751327455844</v>
      </c>
      <c r="C1339" s="17">
        <f>IF(AND(問題解答データベース!D1339&gt;=小テスト!$C$6,D1339&lt;=小テスト!$E$6),1,0)</f>
        <v>1</v>
      </c>
      <c r="D1339" s="44">
        <f t="shared" si="61"/>
        <v>1338</v>
      </c>
      <c r="E1339" s="45" t="s">
        <v>1502</v>
      </c>
      <c r="F1339" s="46" t="s">
        <v>3250</v>
      </c>
    </row>
    <row r="1340" spans="1:6" ht="17">
      <c r="A1340" s="15">
        <f t="shared" ca="1" si="59"/>
        <v>1894</v>
      </c>
      <c r="B1340" s="16">
        <f t="shared" ca="1" si="60"/>
        <v>2.9015202357679515E-3</v>
      </c>
      <c r="C1340" s="17">
        <f>IF(AND(問題解答データベース!D1340&gt;=小テスト!$C$6,D1340&lt;=小テスト!$E$6),1,0)</f>
        <v>1</v>
      </c>
      <c r="D1340" s="44">
        <f t="shared" si="61"/>
        <v>1339</v>
      </c>
      <c r="E1340" s="45" t="s">
        <v>1503</v>
      </c>
      <c r="F1340" s="46" t="s">
        <v>3251</v>
      </c>
    </row>
    <row r="1341" spans="1:6" ht="17">
      <c r="A1341" s="15">
        <f t="shared" ca="1" si="59"/>
        <v>1096</v>
      </c>
      <c r="B1341" s="16">
        <f t="shared" ca="1" si="60"/>
        <v>0.42548669145964313</v>
      </c>
      <c r="C1341" s="17">
        <f>IF(AND(問題解答データベース!D1341&gt;=小テスト!$C$6,D1341&lt;=小テスト!$E$6),1,0)</f>
        <v>1</v>
      </c>
      <c r="D1341" s="44">
        <f t="shared" si="61"/>
        <v>1340</v>
      </c>
      <c r="E1341" s="45" t="s">
        <v>1504</v>
      </c>
      <c r="F1341" s="46" t="s">
        <v>3252</v>
      </c>
    </row>
    <row r="1342" spans="1:6" ht="17">
      <c r="A1342" s="15">
        <f t="shared" ca="1" si="59"/>
        <v>368</v>
      </c>
      <c r="B1342" s="16">
        <f t="shared" ca="1" si="60"/>
        <v>0.80297289239856451</v>
      </c>
      <c r="C1342" s="17">
        <f>IF(AND(問題解答データベース!D1342&gt;=小テスト!$C$6,D1342&lt;=小テスト!$E$6),1,0)</f>
        <v>1</v>
      </c>
      <c r="D1342" s="44">
        <f t="shared" si="61"/>
        <v>1341</v>
      </c>
      <c r="E1342" s="45" t="s">
        <v>1505</v>
      </c>
      <c r="F1342" s="46" t="s">
        <v>3253</v>
      </c>
    </row>
    <row r="1343" spans="1:6" ht="17">
      <c r="A1343" s="15">
        <f t="shared" ca="1" si="59"/>
        <v>1648</v>
      </c>
      <c r="B1343" s="16">
        <f t="shared" ca="1" si="60"/>
        <v>0.12845941220728008</v>
      </c>
      <c r="C1343" s="17">
        <f>IF(AND(問題解答データベース!D1343&gt;=小テスト!$C$6,D1343&lt;=小テスト!$E$6),1,0)</f>
        <v>1</v>
      </c>
      <c r="D1343" s="44">
        <f t="shared" si="61"/>
        <v>1342</v>
      </c>
      <c r="E1343" s="45" t="s">
        <v>1506</v>
      </c>
      <c r="F1343" s="46" t="s">
        <v>3254</v>
      </c>
    </row>
    <row r="1344" spans="1:6" ht="17">
      <c r="A1344" s="15">
        <f t="shared" ca="1" si="59"/>
        <v>895</v>
      </c>
      <c r="B1344" s="16">
        <f t="shared" ca="1" si="60"/>
        <v>0.52581427848032258</v>
      </c>
      <c r="C1344" s="17">
        <f>IF(AND(問題解答データベース!D1344&gt;=小テスト!$C$6,D1344&lt;=小テスト!$E$6),1,0)</f>
        <v>1</v>
      </c>
      <c r="D1344" s="44">
        <f t="shared" si="61"/>
        <v>1343</v>
      </c>
      <c r="E1344" s="45" t="s">
        <v>1507</v>
      </c>
      <c r="F1344" s="46" t="s">
        <v>3255</v>
      </c>
    </row>
    <row r="1345" spans="1:6" ht="17">
      <c r="A1345" s="15">
        <f t="shared" ca="1" si="59"/>
        <v>300</v>
      </c>
      <c r="B1345" s="16">
        <f t="shared" ca="1" si="60"/>
        <v>0.84601764939631885</v>
      </c>
      <c r="C1345" s="17">
        <f>IF(AND(問題解答データベース!D1345&gt;=小テスト!$C$6,D1345&lt;=小テスト!$E$6),1,0)</f>
        <v>1</v>
      </c>
      <c r="D1345" s="44">
        <f t="shared" si="61"/>
        <v>1344</v>
      </c>
      <c r="E1345" s="45" t="s">
        <v>1508</v>
      </c>
      <c r="F1345" s="46" t="s">
        <v>3256</v>
      </c>
    </row>
    <row r="1346" spans="1:6" ht="17">
      <c r="A1346" s="15">
        <f t="shared" ca="1" si="59"/>
        <v>372</v>
      </c>
      <c r="B1346" s="16">
        <f t="shared" ca="1" si="60"/>
        <v>0.80065316765853611</v>
      </c>
      <c r="C1346" s="17">
        <f>IF(AND(問題解答データベース!D1346&gt;=小テスト!$C$6,D1346&lt;=小テスト!$E$6),1,0)</f>
        <v>1</v>
      </c>
      <c r="D1346" s="44">
        <f t="shared" si="61"/>
        <v>1345</v>
      </c>
      <c r="E1346" s="45" t="s">
        <v>1509</v>
      </c>
      <c r="F1346" s="46" t="s">
        <v>3257</v>
      </c>
    </row>
    <row r="1347" spans="1:6" ht="17">
      <c r="A1347" s="15">
        <f t="shared" ref="A1347:A1410" ca="1" si="62">RANK(B1347,$B$2:$B$1901,0)</f>
        <v>249</v>
      </c>
      <c r="B1347" s="16">
        <f t="shared" ca="1" si="60"/>
        <v>0.87110758632137031</v>
      </c>
      <c r="C1347" s="17">
        <f>IF(AND(問題解答データベース!D1347&gt;=小テスト!$C$6,D1347&lt;=小テスト!$E$6),1,0)</f>
        <v>1</v>
      </c>
      <c r="D1347" s="44">
        <f t="shared" si="61"/>
        <v>1346</v>
      </c>
      <c r="E1347" s="45" t="s">
        <v>1510</v>
      </c>
      <c r="F1347" s="46" t="s">
        <v>3258</v>
      </c>
    </row>
    <row r="1348" spans="1:6" ht="17">
      <c r="A1348" s="15">
        <f t="shared" ca="1" si="62"/>
        <v>855</v>
      </c>
      <c r="B1348" s="16">
        <f t="shared" ca="1" si="60"/>
        <v>0.54319356729515433</v>
      </c>
      <c r="C1348" s="17">
        <f>IF(AND(問題解答データベース!D1348&gt;=小テスト!$C$6,D1348&lt;=小テスト!$E$6),1,0)</f>
        <v>1</v>
      </c>
      <c r="D1348" s="44">
        <f t="shared" si="61"/>
        <v>1347</v>
      </c>
      <c r="E1348" s="45" t="s">
        <v>1511</v>
      </c>
      <c r="F1348" s="46" t="s">
        <v>3259</v>
      </c>
    </row>
    <row r="1349" spans="1:6" ht="17">
      <c r="A1349" s="15">
        <f t="shared" ca="1" si="62"/>
        <v>1282</v>
      </c>
      <c r="B1349" s="16">
        <f t="shared" ca="1" si="60"/>
        <v>0.33086092049996318</v>
      </c>
      <c r="C1349" s="17">
        <f>IF(AND(問題解答データベース!D1349&gt;=小テスト!$C$6,D1349&lt;=小テスト!$E$6),1,0)</f>
        <v>1</v>
      </c>
      <c r="D1349" s="44">
        <f t="shared" si="61"/>
        <v>1348</v>
      </c>
      <c r="E1349" s="45" t="s">
        <v>1512</v>
      </c>
      <c r="F1349" s="46" t="s">
        <v>3260</v>
      </c>
    </row>
    <row r="1350" spans="1:6" ht="17">
      <c r="A1350" s="15">
        <f t="shared" ca="1" si="62"/>
        <v>1362</v>
      </c>
      <c r="B1350" s="16">
        <f t="shared" ca="1" si="60"/>
        <v>0.28719179195117961</v>
      </c>
      <c r="C1350" s="17">
        <f>IF(AND(問題解答データベース!D1350&gt;=小テスト!$C$6,D1350&lt;=小テスト!$E$6),1,0)</f>
        <v>1</v>
      </c>
      <c r="D1350" s="44">
        <f t="shared" si="61"/>
        <v>1349</v>
      </c>
      <c r="E1350" s="45" t="s">
        <v>1513</v>
      </c>
      <c r="F1350" s="46" t="s">
        <v>3261</v>
      </c>
    </row>
    <row r="1351" spans="1:6" ht="17">
      <c r="A1351" s="15">
        <f t="shared" ca="1" si="62"/>
        <v>1082</v>
      </c>
      <c r="B1351" s="16">
        <f t="shared" ca="1" si="60"/>
        <v>0.43411514856492406</v>
      </c>
      <c r="C1351" s="17">
        <f>IF(AND(問題解答データベース!D1351&gt;=小テスト!$C$6,D1351&lt;=小テスト!$E$6),1,0)</f>
        <v>1</v>
      </c>
      <c r="D1351" s="44">
        <f t="shared" si="61"/>
        <v>1350</v>
      </c>
      <c r="E1351" s="45" t="s">
        <v>1514</v>
      </c>
      <c r="F1351" s="46" t="s">
        <v>3262</v>
      </c>
    </row>
    <row r="1352" spans="1:6" ht="17">
      <c r="A1352" s="15">
        <f t="shared" ca="1" si="62"/>
        <v>1708</v>
      </c>
      <c r="B1352" s="16">
        <f t="shared" ca="1" si="60"/>
        <v>9.7403546431779287E-2</v>
      </c>
      <c r="C1352" s="17">
        <f>IF(AND(問題解答データベース!D1352&gt;=小テスト!$C$6,D1352&lt;=小テスト!$E$6),1,0)</f>
        <v>1</v>
      </c>
      <c r="D1352" s="44">
        <f t="shared" si="61"/>
        <v>1351</v>
      </c>
      <c r="E1352" s="45" t="s">
        <v>1515</v>
      </c>
      <c r="F1352" s="46" t="s">
        <v>3263</v>
      </c>
    </row>
    <row r="1353" spans="1:6" ht="17">
      <c r="A1353" s="15">
        <f t="shared" ca="1" si="62"/>
        <v>975</v>
      </c>
      <c r="B1353" s="16">
        <f t="shared" ca="1" si="60"/>
        <v>0.48840500444906698</v>
      </c>
      <c r="C1353" s="17">
        <f>IF(AND(問題解答データベース!D1353&gt;=小テスト!$C$6,D1353&lt;=小テスト!$E$6),1,0)</f>
        <v>1</v>
      </c>
      <c r="D1353" s="44">
        <f t="shared" si="61"/>
        <v>1352</v>
      </c>
      <c r="E1353" s="45" t="s">
        <v>1516</v>
      </c>
      <c r="F1353" s="46" t="s">
        <v>3264</v>
      </c>
    </row>
    <row r="1354" spans="1:6" ht="17">
      <c r="A1354" s="15">
        <f t="shared" ca="1" si="62"/>
        <v>984</v>
      </c>
      <c r="B1354" s="16">
        <f t="shared" ref="B1354:B1417" ca="1" si="63">IF(C1354=1,RAND(),0)</f>
        <v>0.48478047953689352</v>
      </c>
      <c r="C1354" s="17">
        <f>IF(AND(問題解答データベース!D1354&gt;=小テスト!$C$6,D1354&lt;=小テスト!$E$6),1,0)</f>
        <v>1</v>
      </c>
      <c r="D1354" s="44">
        <f t="shared" si="61"/>
        <v>1353</v>
      </c>
      <c r="E1354" s="45" t="s">
        <v>1517</v>
      </c>
      <c r="F1354" s="46" t="s">
        <v>3265</v>
      </c>
    </row>
    <row r="1355" spans="1:6" ht="17">
      <c r="A1355" s="15">
        <f t="shared" ca="1" si="62"/>
        <v>1701</v>
      </c>
      <c r="B1355" s="16">
        <f t="shared" ca="1" si="63"/>
        <v>9.9380925684406707E-2</v>
      </c>
      <c r="C1355" s="17">
        <f>IF(AND(問題解答データベース!D1355&gt;=小テスト!$C$6,D1355&lt;=小テスト!$E$6),1,0)</f>
        <v>1</v>
      </c>
      <c r="D1355" s="44">
        <f t="shared" si="61"/>
        <v>1354</v>
      </c>
      <c r="E1355" s="45" t="s">
        <v>1518</v>
      </c>
      <c r="F1355" s="46" t="s">
        <v>3266</v>
      </c>
    </row>
    <row r="1356" spans="1:6" ht="17">
      <c r="A1356" s="15">
        <f t="shared" ca="1" si="62"/>
        <v>1270</v>
      </c>
      <c r="B1356" s="16">
        <f t="shared" ca="1" si="63"/>
        <v>0.33961466441001176</v>
      </c>
      <c r="C1356" s="17">
        <f>IF(AND(問題解答データベース!D1356&gt;=小テスト!$C$6,D1356&lt;=小テスト!$E$6),1,0)</f>
        <v>1</v>
      </c>
      <c r="D1356" s="44">
        <f t="shared" si="61"/>
        <v>1355</v>
      </c>
      <c r="E1356" s="45" t="s">
        <v>1519</v>
      </c>
      <c r="F1356" s="46" t="s">
        <v>3267</v>
      </c>
    </row>
    <row r="1357" spans="1:6" ht="17">
      <c r="A1357" s="15">
        <f t="shared" ca="1" si="62"/>
        <v>1637</v>
      </c>
      <c r="B1357" s="16">
        <f t="shared" ca="1" si="63"/>
        <v>0.13471824868476756</v>
      </c>
      <c r="C1357" s="17">
        <f>IF(AND(問題解答データベース!D1357&gt;=小テスト!$C$6,D1357&lt;=小テスト!$E$6),1,0)</f>
        <v>1</v>
      </c>
      <c r="D1357" s="44">
        <f t="shared" si="61"/>
        <v>1356</v>
      </c>
      <c r="E1357" s="45" t="s">
        <v>1520</v>
      </c>
      <c r="F1357" s="46" t="s">
        <v>3268</v>
      </c>
    </row>
    <row r="1358" spans="1:6" ht="17">
      <c r="A1358" s="15">
        <f t="shared" ca="1" si="62"/>
        <v>488</v>
      </c>
      <c r="B1358" s="16">
        <f t="shared" ca="1" si="63"/>
        <v>0.74674175082285188</v>
      </c>
      <c r="C1358" s="17">
        <f>IF(AND(問題解答データベース!D1358&gt;=小テスト!$C$6,D1358&lt;=小テスト!$E$6),1,0)</f>
        <v>1</v>
      </c>
      <c r="D1358" s="44">
        <f t="shared" si="61"/>
        <v>1357</v>
      </c>
      <c r="E1358" s="45" t="s">
        <v>1521</v>
      </c>
      <c r="F1358" s="46" t="s">
        <v>3269</v>
      </c>
    </row>
    <row r="1359" spans="1:6" ht="17">
      <c r="A1359" s="15">
        <f t="shared" ca="1" si="62"/>
        <v>392</v>
      </c>
      <c r="B1359" s="16">
        <f t="shared" ca="1" si="63"/>
        <v>0.79036433793713534</v>
      </c>
      <c r="C1359" s="17">
        <f>IF(AND(問題解答データベース!D1359&gt;=小テスト!$C$6,D1359&lt;=小テスト!$E$6),1,0)</f>
        <v>1</v>
      </c>
      <c r="D1359" s="44">
        <f t="shared" si="61"/>
        <v>1358</v>
      </c>
      <c r="E1359" s="45" t="s">
        <v>1522</v>
      </c>
      <c r="F1359" s="46" t="s">
        <v>3270</v>
      </c>
    </row>
    <row r="1360" spans="1:6" ht="17">
      <c r="A1360" s="15">
        <f t="shared" ca="1" si="62"/>
        <v>668</v>
      </c>
      <c r="B1360" s="16">
        <f t="shared" ca="1" si="63"/>
        <v>0.65005703733759557</v>
      </c>
      <c r="C1360" s="17">
        <f>IF(AND(問題解答データベース!D1360&gt;=小テスト!$C$6,D1360&lt;=小テスト!$E$6),1,0)</f>
        <v>1</v>
      </c>
      <c r="D1360" s="44">
        <f t="shared" si="61"/>
        <v>1359</v>
      </c>
      <c r="E1360" s="45" t="s">
        <v>1523</v>
      </c>
      <c r="F1360" s="46" t="s">
        <v>3271</v>
      </c>
    </row>
    <row r="1361" spans="1:6" ht="17">
      <c r="A1361" s="15">
        <f t="shared" ca="1" si="62"/>
        <v>339</v>
      </c>
      <c r="B1361" s="16">
        <f t="shared" ca="1" si="63"/>
        <v>0.81805394627140426</v>
      </c>
      <c r="C1361" s="17">
        <f>IF(AND(問題解答データベース!D1361&gt;=小テスト!$C$6,D1361&lt;=小テスト!$E$6),1,0)</f>
        <v>1</v>
      </c>
      <c r="D1361" s="44">
        <f t="shared" si="61"/>
        <v>1360</v>
      </c>
      <c r="E1361" s="45" t="s">
        <v>1524</v>
      </c>
      <c r="F1361" s="46" t="s">
        <v>3272</v>
      </c>
    </row>
    <row r="1362" spans="1:6" ht="17">
      <c r="A1362" s="15">
        <f t="shared" ca="1" si="62"/>
        <v>1068</v>
      </c>
      <c r="B1362" s="16">
        <f t="shared" ca="1" si="63"/>
        <v>0.44302185118405735</v>
      </c>
      <c r="C1362" s="17">
        <f>IF(AND(問題解答データベース!D1362&gt;=小テスト!$C$6,D1362&lt;=小テスト!$E$6),1,0)</f>
        <v>1</v>
      </c>
      <c r="D1362" s="44">
        <f t="shared" si="61"/>
        <v>1361</v>
      </c>
      <c r="E1362" s="45" t="s">
        <v>1525</v>
      </c>
      <c r="F1362" s="46" t="s">
        <v>3273</v>
      </c>
    </row>
    <row r="1363" spans="1:6" ht="17">
      <c r="A1363" s="15">
        <f t="shared" ca="1" si="62"/>
        <v>1202</v>
      </c>
      <c r="B1363" s="16">
        <f t="shared" ca="1" si="63"/>
        <v>0.36704638644249021</v>
      </c>
      <c r="C1363" s="17">
        <f>IF(AND(問題解答データベース!D1363&gt;=小テスト!$C$6,D1363&lt;=小テスト!$E$6),1,0)</f>
        <v>1</v>
      </c>
      <c r="D1363" s="44">
        <f t="shared" si="61"/>
        <v>1362</v>
      </c>
      <c r="E1363" s="45" t="s">
        <v>1526</v>
      </c>
      <c r="F1363" s="46" t="s">
        <v>3274</v>
      </c>
    </row>
    <row r="1364" spans="1:6" ht="17">
      <c r="A1364" s="15">
        <f t="shared" ca="1" si="62"/>
        <v>1890</v>
      </c>
      <c r="B1364" s="16">
        <f t="shared" ca="1" si="63"/>
        <v>4.5890407305742009E-3</v>
      </c>
      <c r="C1364" s="17">
        <f>IF(AND(問題解答データベース!D1364&gt;=小テスト!$C$6,D1364&lt;=小テスト!$E$6),1,0)</f>
        <v>1</v>
      </c>
      <c r="D1364" s="44">
        <f t="shared" si="61"/>
        <v>1363</v>
      </c>
      <c r="E1364" s="45" t="s">
        <v>1527</v>
      </c>
      <c r="F1364" s="46" t="s">
        <v>3275</v>
      </c>
    </row>
    <row r="1365" spans="1:6" ht="17">
      <c r="A1365" s="15">
        <f t="shared" ca="1" si="62"/>
        <v>1554</v>
      </c>
      <c r="B1365" s="16">
        <f t="shared" ca="1" si="63"/>
        <v>0.17596080069239062</v>
      </c>
      <c r="C1365" s="17">
        <f>IF(AND(問題解答データベース!D1365&gt;=小テスト!$C$6,D1365&lt;=小テスト!$E$6),1,0)</f>
        <v>1</v>
      </c>
      <c r="D1365" s="44">
        <f t="shared" si="61"/>
        <v>1364</v>
      </c>
      <c r="E1365" s="45" t="s">
        <v>1528</v>
      </c>
      <c r="F1365" s="46" t="s">
        <v>3276</v>
      </c>
    </row>
    <row r="1366" spans="1:6" ht="17">
      <c r="A1366" s="15">
        <f t="shared" ca="1" si="62"/>
        <v>64</v>
      </c>
      <c r="B1366" s="16">
        <f t="shared" ca="1" si="63"/>
        <v>0.96790927599163246</v>
      </c>
      <c r="C1366" s="17">
        <f>IF(AND(問題解答データベース!D1366&gt;=小テスト!$C$6,D1366&lt;=小テスト!$E$6),1,0)</f>
        <v>1</v>
      </c>
      <c r="D1366" s="44">
        <f t="shared" si="61"/>
        <v>1365</v>
      </c>
      <c r="E1366" s="45" t="s">
        <v>1529</v>
      </c>
      <c r="F1366" s="46" t="s">
        <v>3277</v>
      </c>
    </row>
    <row r="1367" spans="1:6" ht="17">
      <c r="A1367" s="15">
        <f t="shared" ca="1" si="62"/>
        <v>1774</v>
      </c>
      <c r="B1367" s="16">
        <f t="shared" ca="1" si="63"/>
        <v>6.2806499811737693E-2</v>
      </c>
      <c r="C1367" s="17">
        <f>IF(AND(問題解答データベース!D1367&gt;=小テスト!$C$6,D1367&lt;=小テスト!$E$6),1,0)</f>
        <v>1</v>
      </c>
      <c r="D1367" s="44">
        <f t="shared" si="61"/>
        <v>1366</v>
      </c>
      <c r="E1367" s="45" t="s">
        <v>1530</v>
      </c>
      <c r="F1367" s="46" t="s">
        <v>3278</v>
      </c>
    </row>
    <row r="1368" spans="1:6" ht="17">
      <c r="A1368" s="15">
        <f t="shared" ca="1" si="62"/>
        <v>514</v>
      </c>
      <c r="B1368" s="16">
        <f t="shared" ca="1" si="63"/>
        <v>0.73448599732393494</v>
      </c>
      <c r="C1368" s="17">
        <f>IF(AND(問題解答データベース!D1368&gt;=小テスト!$C$6,D1368&lt;=小テスト!$E$6),1,0)</f>
        <v>1</v>
      </c>
      <c r="D1368" s="44">
        <f t="shared" si="61"/>
        <v>1367</v>
      </c>
      <c r="E1368" s="45" t="s">
        <v>1531</v>
      </c>
      <c r="F1368" s="46" t="s">
        <v>3279</v>
      </c>
    </row>
    <row r="1369" spans="1:6" ht="17">
      <c r="A1369" s="15">
        <f t="shared" ca="1" si="62"/>
        <v>1453</v>
      </c>
      <c r="B1369" s="16">
        <f t="shared" ca="1" si="63"/>
        <v>0.23379192568740725</v>
      </c>
      <c r="C1369" s="17">
        <f>IF(AND(問題解答データベース!D1369&gt;=小テスト!$C$6,D1369&lt;=小テスト!$E$6),1,0)</f>
        <v>1</v>
      </c>
      <c r="D1369" s="44">
        <f t="shared" si="61"/>
        <v>1368</v>
      </c>
      <c r="E1369" s="45" t="s">
        <v>1532</v>
      </c>
      <c r="F1369" s="46" t="s">
        <v>3280</v>
      </c>
    </row>
    <row r="1370" spans="1:6" ht="17">
      <c r="A1370" s="15">
        <f t="shared" ca="1" si="62"/>
        <v>1025</v>
      </c>
      <c r="B1370" s="16">
        <f t="shared" ca="1" si="63"/>
        <v>0.46874193585406421</v>
      </c>
      <c r="C1370" s="17">
        <f>IF(AND(問題解答データベース!D1370&gt;=小テスト!$C$6,D1370&lt;=小テスト!$E$6),1,0)</f>
        <v>1</v>
      </c>
      <c r="D1370" s="44">
        <f t="shared" si="61"/>
        <v>1369</v>
      </c>
      <c r="E1370" s="45" t="s">
        <v>1533</v>
      </c>
      <c r="F1370" s="46" t="s">
        <v>3281</v>
      </c>
    </row>
    <row r="1371" spans="1:6" ht="17">
      <c r="A1371" s="15">
        <f t="shared" ca="1" si="62"/>
        <v>1644</v>
      </c>
      <c r="B1371" s="16">
        <f t="shared" ca="1" si="63"/>
        <v>0.12981697325261909</v>
      </c>
      <c r="C1371" s="17">
        <f>IF(AND(問題解答データベース!D1371&gt;=小テスト!$C$6,D1371&lt;=小テスト!$E$6),1,0)</f>
        <v>1</v>
      </c>
      <c r="D1371" s="44">
        <f t="shared" si="61"/>
        <v>1370</v>
      </c>
      <c r="E1371" s="45" t="s">
        <v>1534</v>
      </c>
      <c r="F1371" s="46" t="s">
        <v>3282</v>
      </c>
    </row>
    <row r="1372" spans="1:6" ht="17">
      <c r="A1372" s="15">
        <f t="shared" ca="1" si="62"/>
        <v>195</v>
      </c>
      <c r="B1372" s="16">
        <f t="shared" ca="1" si="63"/>
        <v>0.9055506850384949</v>
      </c>
      <c r="C1372" s="17">
        <f>IF(AND(問題解答データベース!D1372&gt;=小テスト!$C$6,D1372&lt;=小テスト!$E$6),1,0)</f>
        <v>1</v>
      </c>
      <c r="D1372" s="44">
        <f t="shared" ref="D1372:D1435" si="64">D1371+1</f>
        <v>1371</v>
      </c>
      <c r="E1372" s="45" t="s">
        <v>1535</v>
      </c>
      <c r="F1372" s="46" t="s">
        <v>3283</v>
      </c>
    </row>
    <row r="1373" spans="1:6" ht="17">
      <c r="A1373" s="15">
        <f t="shared" ca="1" si="62"/>
        <v>1195</v>
      </c>
      <c r="B1373" s="16">
        <f t="shared" ca="1" si="63"/>
        <v>0.36999332954911868</v>
      </c>
      <c r="C1373" s="17">
        <f>IF(AND(問題解答データベース!D1373&gt;=小テスト!$C$6,D1373&lt;=小テスト!$E$6),1,0)</f>
        <v>1</v>
      </c>
      <c r="D1373" s="44">
        <f t="shared" si="64"/>
        <v>1372</v>
      </c>
      <c r="E1373" s="45" t="s">
        <v>1536</v>
      </c>
      <c r="F1373" s="46" t="s">
        <v>3284</v>
      </c>
    </row>
    <row r="1374" spans="1:6" ht="17">
      <c r="A1374" s="15">
        <f t="shared" ca="1" si="62"/>
        <v>14</v>
      </c>
      <c r="B1374" s="16">
        <f t="shared" ca="1" si="63"/>
        <v>0.9946033929789373</v>
      </c>
      <c r="C1374" s="17">
        <f>IF(AND(問題解答データベース!D1374&gt;=小テスト!$C$6,D1374&lt;=小テスト!$E$6),1,0)</f>
        <v>1</v>
      </c>
      <c r="D1374" s="44">
        <f t="shared" si="64"/>
        <v>1373</v>
      </c>
      <c r="E1374" s="45" t="s">
        <v>1537</v>
      </c>
      <c r="F1374" s="46" t="s">
        <v>3285</v>
      </c>
    </row>
    <row r="1375" spans="1:6" ht="17">
      <c r="A1375" s="15">
        <f t="shared" ca="1" si="62"/>
        <v>214</v>
      </c>
      <c r="B1375" s="16">
        <f t="shared" ca="1" si="63"/>
        <v>0.8951452590613509</v>
      </c>
      <c r="C1375" s="17">
        <f>IF(AND(問題解答データベース!D1375&gt;=小テスト!$C$6,D1375&lt;=小テスト!$E$6),1,0)</f>
        <v>1</v>
      </c>
      <c r="D1375" s="44">
        <f t="shared" si="64"/>
        <v>1374</v>
      </c>
      <c r="E1375" s="45" t="s">
        <v>1538</v>
      </c>
      <c r="F1375" s="46" t="s">
        <v>3286</v>
      </c>
    </row>
    <row r="1376" spans="1:6" ht="17">
      <c r="A1376" s="15">
        <f t="shared" ca="1" si="62"/>
        <v>649</v>
      </c>
      <c r="B1376" s="16">
        <f t="shared" ca="1" si="63"/>
        <v>0.65862878380735568</v>
      </c>
      <c r="C1376" s="17">
        <f>IF(AND(問題解答データベース!D1376&gt;=小テスト!$C$6,D1376&lt;=小テスト!$E$6),1,0)</f>
        <v>1</v>
      </c>
      <c r="D1376" s="44">
        <f t="shared" si="64"/>
        <v>1375</v>
      </c>
      <c r="E1376" s="45" t="s">
        <v>1539</v>
      </c>
      <c r="F1376" s="46" t="s">
        <v>3287</v>
      </c>
    </row>
    <row r="1377" spans="1:6" ht="17">
      <c r="A1377" s="15">
        <f t="shared" ca="1" si="62"/>
        <v>1214</v>
      </c>
      <c r="B1377" s="16">
        <f t="shared" ca="1" si="63"/>
        <v>0.36426887613271852</v>
      </c>
      <c r="C1377" s="17">
        <f>IF(AND(問題解答データベース!D1377&gt;=小テスト!$C$6,D1377&lt;=小テスト!$E$6),1,0)</f>
        <v>1</v>
      </c>
      <c r="D1377" s="44">
        <f t="shared" si="64"/>
        <v>1376</v>
      </c>
      <c r="E1377" s="45" t="s">
        <v>1540</v>
      </c>
      <c r="F1377" s="46" t="s">
        <v>3288</v>
      </c>
    </row>
    <row r="1378" spans="1:6" ht="17">
      <c r="A1378" s="15">
        <f t="shared" ca="1" si="62"/>
        <v>853</v>
      </c>
      <c r="B1378" s="16">
        <f t="shared" ca="1" si="63"/>
        <v>0.54545629174153298</v>
      </c>
      <c r="C1378" s="17">
        <f>IF(AND(問題解答データベース!D1378&gt;=小テスト!$C$6,D1378&lt;=小テスト!$E$6),1,0)</f>
        <v>1</v>
      </c>
      <c r="D1378" s="44">
        <f t="shared" si="64"/>
        <v>1377</v>
      </c>
      <c r="E1378" s="45" t="s">
        <v>1541</v>
      </c>
      <c r="F1378" s="46" t="s">
        <v>3289</v>
      </c>
    </row>
    <row r="1379" spans="1:6" ht="17">
      <c r="A1379" s="15">
        <f t="shared" ca="1" si="62"/>
        <v>1415</v>
      </c>
      <c r="B1379" s="16">
        <f t="shared" ca="1" si="63"/>
        <v>0.25818006965038687</v>
      </c>
      <c r="C1379" s="17">
        <f>IF(AND(問題解答データベース!D1379&gt;=小テスト!$C$6,D1379&lt;=小テスト!$E$6),1,0)</f>
        <v>1</v>
      </c>
      <c r="D1379" s="44">
        <f t="shared" si="64"/>
        <v>1378</v>
      </c>
      <c r="E1379" s="45" t="s">
        <v>1542</v>
      </c>
      <c r="F1379" s="46" t="s">
        <v>3290</v>
      </c>
    </row>
    <row r="1380" spans="1:6" ht="17">
      <c r="A1380" s="15">
        <f t="shared" ca="1" si="62"/>
        <v>438</v>
      </c>
      <c r="B1380" s="16">
        <f t="shared" ca="1" si="63"/>
        <v>0.76799050376216493</v>
      </c>
      <c r="C1380" s="17">
        <f>IF(AND(問題解答データベース!D1380&gt;=小テスト!$C$6,D1380&lt;=小テスト!$E$6),1,0)</f>
        <v>1</v>
      </c>
      <c r="D1380" s="44">
        <f t="shared" si="64"/>
        <v>1379</v>
      </c>
      <c r="E1380" s="45" t="s">
        <v>1543</v>
      </c>
      <c r="F1380" s="46" t="s">
        <v>3291</v>
      </c>
    </row>
    <row r="1381" spans="1:6" ht="17">
      <c r="A1381" s="15">
        <f t="shared" ca="1" si="62"/>
        <v>1844</v>
      </c>
      <c r="B1381" s="16">
        <f t="shared" ca="1" si="63"/>
        <v>2.8289342628730507E-2</v>
      </c>
      <c r="C1381" s="17">
        <f>IF(AND(問題解答データベース!D1381&gt;=小テスト!$C$6,D1381&lt;=小テスト!$E$6),1,0)</f>
        <v>1</v>
      </c>
      <c r="D1381" s="44">
        <f t="shared" si="64"/>
        <v>1380</v>
      </c>
      <c r="E1381" s="45" t="s">
        <v>1544</v>
      </c>
      <c r="F1381" s="46" t="s">
        <v>3292</v>
      </c>
    </row>
    <row r="1382" spans="1:6" ht="17">
      <c r="A1382" s="15">
        <f t="shared" ca="1" si="62"/>
        <v>295</v>
      </c>
      <c r="B1382" s="16">
        <f t="shared" ca="1" si="63"/>
        <v>0.84661306916616608</v>
      </c>
      <c r="C1382" s="17">
        <f>IF(AND(問題解答データベース!D1382&gt;=小テスト!$C$6,D1382&lt;=小テスト!$E$6),1,0)</f>
        <v>1</v>
      </c>
      <c r="D1382" s="44">
        <f t="shared" si="64"/>
        <v>1381</v>
      </c>
      <c r="E1382" s="45" t="s">
        <v>1545</v>
      </c>
      <c r="F1382" s="46" t="s">
        <v>3293</v>
      </c>
    </row>
    <row r="1383" spans="1:6" ht="17">
      <c r="A1383" s="15">
        <f t="shared" ca="1" si="62"/>
        <v>1534</v>
      </c>
      <c r="B1383" s="16">
        <f t="shared" ca="1" si="63"/>
        <v>0.18631666446972595</v>
      </c>
      <c r="C1383" s="17">
        <f>IF(AND(問題解答データベース!D1383&gt;=小テスト!$C$6,D1383&lt;=小テスト!$E$6),1,0)</f>
        <v>1</v>
      </c>
      <c r="D1383" s="44">
        <f t="shared" si="64"/>
        <v>1382</v>
      </c>
      <c r="E1383" s="45" t="s">
        <v>1546</v>
      </c>
      <c r="F1383" s="46" t="s">
        <v>3294</v>
      </c>
    </row>
    <row r="1384" spans="1:6" ht="17">
      <c r="A1384" s="15">
        <f t="shared" ca="1" si="62"/>
        <v>1346</v>
      </c>
      <c r="B1384" s="16">
        <f t="shared" ca="1" si="63"/>
        <v>0.29579517149823442</v>
      </c>
      <c r="C1384" s="17">
        <f>IF(AND(問題解答データベース!D1384&gt;=小テスト!$C$6,D1384&lt;=小テスト!$E$6),1,0)</f>
        <v>1</v>
      </c>
      <c r="D1384" s="44">
        <f t="shared" si="64"/>
        <v>1383</v>
      </c>
      <c r="E1384" s="45" t="s">
        <v>1547</v>
      </c>
      <c r="F1384" s="46" t="s">
        <v>3295</v>
      </c>
    </row>
    <row r="1385" spans="1:6" ht="17">
      <c r="A1385" s="15">
        <f t="shared" ca="1" si="62"/>
        <v>1364</v>
      </c>
      <c r="B1385" s="16">
        <f t="shared" ca="1" si="63"/>
        <v>0.28571485362189142</v>
      </c>
      <c r="C1385" s="17">
        <f>IF(AND(問題解答データベース!D1385&gt;=小テスト!$C$6,D1385&lt;=小テスト!$E$6),1,0)</f>
        <v>1</v>
      </c>
      <c r="D1385" s="44">
        <f t="shared" si="64"/>
        <v>1384</v>
      </c>
      <c r="E1385" s="45" t="s">
        <v>1548</v>
      </c>
      <c r="F1385" s="46" t="s">
        <v>3296</v>
      </c>
    </row>
    <row r="1386" spans="1:6" ht="17">
      <c r="A1386" s="15">
        <f t="shared" ca="1" si="62"/>
        <v>523</v>
      </c>
      <c r="B1386" s="16">
        <f t="shared" ca="1" si="63"/>
        <v>0.73056890235881666</v>
      </c>
      <c r="C1386" s="17">
        <f>IF(AND(問題解答データベース!D1386&gt;=小テスト!$C$6,D1386&lt;=小テスト!$E$6),1,0)</f>
        <v>1</v>
      </c>
      <c r="D1386" s="44">
        <f t="shared" si="64"/>
        <v>1385</v>
      </c>
      <c r="E1386" s="45" t="s">
        <v>1549</v>
      </c>
      <c r="F1386" s="46" t="s">
        <v>3297</v>
      </c>
    </row>
    <row r="1387" spans="1:6" ht="17">
      <c r="A1387" s="15">
        <f t="shared" ca="1" si="62"/>
        <v>1592</v>
      </c>
      <c r="B1387" s="16">
        <f t="shared" ca="1" si="63"/>
        <v>0.1599207207340434</v>
      </c>
      <c r="C1387" s="17">
        <f>IF(AND(問題解答データベース!D1387&gt;=小テスト!$C$6,D1387&lt;=小テスト!$E$6),1,0)</f>
        <v>1</v>
      </c>
      <c r="D1387" s="44">
        <f t="shared" si="64"/>
        <v>1386</v>
      </c>
      <c r="E1387" s="45" t="s">
        <v>1550</v>
      </c>
      <c r="F1387" s="46" t="s">
        <v>3298</v>
      </c>
    </row>
    <row r="1388" spans="1:6" ht="17">
      <c r="A1388" s="15">
        <f t="shared" ca="1" si="62"/>
        <v>1469</v>
      </c>
      <c r="B1388" s="16">
        <f t="shared" ca="1" si="63"/>
        <v>0.22323203213292153</v>
      </c>
      <c r="C1388" s="17">
        <f>IF(AND(問題解答データベース!D1388&gt;=小テスト!$C$6,D1388&lt;=小テスト!$E$6),1,0)</f>
        <v>1</v>
      </c>
      <c r="D1388" s="44">
        <f t="shared" si="64"/>
        <v>1387</v>
      </c>
      <c r="E1388" s="45" t="s">
        <v>1551</v>
      </c>
      <c r="F1388" s="46" t="s">
        <v>3299</v>
      </c>
    </row>
    <row r="1389" spans="1:6" ht="17">
      <c r="A1389" s="15">
        <f t="shared" ca="1" si="62"/>
        <v>493</v>
      </c>
      <c r="B1389" s="16">
        <f t="shared" ca="1" si="63"/>
        <v>0.74406509457299752</v>
      </c>
      <c r="C1389" s="17">
        <f>IF(AND(問題解答データベース!D1389&gt;=小テスト!$C$6,D1389&lt;=小テスト!$E$6),1,0)</f>
        <v>1</v>
      </c>
      <c r="D1389" s="44">
        <f t="shared" si="64"/>
        <v>1388</v>
      </c>
      <c r="E1389" s="45" t="s">
        <v>1552</v>
      </c>
      <c r="F1389" s="46" t="s">
        <v>3300</v>
      </c>
    </row>
    <row r="1390" spans="1:6" ht="17">
      <c r="A1390" s="15">
        <f t="shared" ca="1" si="62"/>
        <v>395</v>
      </c>
      <c r="B1390" s="16">
        <f t="shared" ca="1" si="63"/>
        <v>0.78960291704489338</v>
      </c>
      <c r="C1390" s="17">
        <f>IF(AND(問題解答データベース!D1390&gt;=小テスト!$C$6,D1390&lt;=小テスト!$E$6),1,0)</f>
        <v>1</v>
      </c>
      <c r="D1390" s="44">
        <f t="shared" si="64"/>
        <v>1389</v>
      </c>
      <c r="E1390" s="45" t="s">
        <v>1553</v>
      </c>
      <c r="F1390" s="46" t="s">
        <v>3301</v>
      </c>
    </row>
    <row r="1391" spans="1:6" ht="17">
      <c r="A1391" s="15">
        <f t="shared" ca="1" si="62"/>
        <v>1714</v>
      </c>
      <c r="B1391" s="16">
        <f t="shared" ca="1" si="63"/>
        <v>9.2666193352014092E-2</v>
      </c>
      <c r="C1391" s="17">
        <f>IF(AND(問題解答データベース!D1391&gt;=小テスト!$C$6,D1391&lt;=小テスト!$E$6),1,0)</f>
        <v>1</v>
      </c>
      <c r="D1391" s="44">
        <f t="shared" si="64"/>
        <v>1390</v>
      </c>
      <c r="E1391" s="45" t="s">
        <v>1554</v>
      </c>
      <c r="F1391" s="46" t="s">
        <v>3302</v>
      </c>
    </row>
    <row r="1392" spans="1:6" ht="17">
      <c r="A1392" s="15">
        <f t="shared" ca="1" si="62"/>
        <v>1726</v>
      </c>
      <c r="B1392" s="16">
        <f t="shared" ca="1" si="63"/>
        <v>8.5692310495903312E-2</v>
      </c>
      <c r="C1392" s="17">
        <f>IF(AND(問題解答データベース!D1392&gt;=小テスト!$C$6,D1392&lt;=小テスト!$E$6),1,0)</f>
        <v>1</v>
      </c>
      <c r="D1392" s="44">
        <f t="shared" si="64"/>
        <v>1391</v>
      </c>
      <c r="E1392" s="45" t="s">
        <v>1555</v>
      </c>
      <c r="F1392" s="46" t="s">
        <v>3303</v>
      </c>
    </row>
    <row r="1393" spans="1:6" ht="17">
      <c r="A1393" s="15">
        <f t="shared" ca="1" si="62"/>
        <v>1311</v>
      </c>
      <c r="B1393" s="16">
        <f t="shared" ca="1" si="63"/>
        <v>0.31358465263134327</v>
      </c>
      <c r="C1393" s="17">
        <f>IF(AND(問題解答データベース!D1393&gt;=小テスト!$C$6,D1393&lt;=小テスト!$E$6),1,0)</f>
        <v>1</v>
      </c>
      <c r="D1393" s="44">
        <f t="shared" si="64"/>
        <v>1392</v>
      </c>
      <c r="E1393" s="45" t="s">
        <v>1556</v>
      </c>
      <c r="F1393" s="46" t="s">
        <v>3304</v>
      </c>
    </row>
    <row r="1394" spans="1:6" ht="17">
      <c r="A1394" s="15">
        <f t="shared" ca="1" si="62"/>
        <v>1854</v>
      </c>
      <c r="B1394" s="16">
        <f t="shared" ca="1" si="63"/>
        <v>2.1660413061390549E-2</v>
      </c>
      <c r="C1394" s="17">
        <f>IF(AND(問題解答データベース!D1394&gt;=小テスト!$C$6,D1394&lt;=小テスト!$E$6),1,0)</f>
        <v>1</v>
      </c>
      <c r="D1394" s="44">
        <f t="shared" si="64"/>
        <v>1393</v>
      </c>
      <c r="E1394" s="45" t="s">
        <v>1557</v>
      </c>
      <c r="F1394" s="46" t="s">
        <v>3305</v>
      </c>
    </row>
    <row r="1395" spans="1:6" ht="17">
      <c r="A1395" s="15">
        <f t="shared" ca="1" si="62"/>
        <v>1787</v>
      </c>
      <c r="B1395" s="16">
        <f t="shared" ca="1" si="63"/>
        <v>5.4321976264752103E-2</v>
      </c>
      <c r="C1395" s="17">
        <f>IF(AND(問題解答データベース!D1395&gt;=小テスト!$C$6,D1395&lt;=小テスト!$E$6),1,0)</f>
        <v>1</v>
      </c>
      <c r="D1395" s="44">
        <f t="shared" si="64"/>
        <v>1394</v>
      </c>
      <c r="E1395" s="45" t="s">
        <v>1558</v>
      </c>
      <c r="F1395" s="46" t="s">
        <v>3306</v>
      </c>
    </row>
    <row r="1396" spans="1:6" ht="17">
      <c r="A1396" s="15">
        <f t="shared" ca="1" si="62"/>
        <v>556</v>
      </c>
      <c r="B1396" s="16">
        <f t="shared" ca="1" si="63"/>
        <v>0.70982401422403663</v>
      </c>
      <c r="C1396" s="17">
        <f>IF(AND(問題解答データベース!D1396&gt;=小テスト!$C$6,D1396&lt;=小テスト!$E$6),1,0)</f>
        <v>1</v>
      </c>
      <c r="D1396" s="44">
        <f t="shared" si="64"/>
        <v>1395</v>
      </c>
      <c r="E1396" s="45" t="s">
        <v>1559</v>
      </c>
      <c r="F1396" s="46" t="s">
        <v>3307</v>
      </c>
    </row>
    <row r="1397" spans="1:6" ht="17">
      <c r="A1397" s="15">
        <f t="shared" ca="1" si="62"/>
        <v>726</v>
      </c>
      <c r="B1397" s="16">
        <f t="shared" ca="1" si="63"/>
        <v>0.61363821562336041</v>
      </c>
      <c r="C1397" s="17">
        <f>IF(AND(問題解答データベース!D1397&gt;=小テスト!$C$6,D1397&lt;=小テスト!$E$6),1,0)</f>
        <v>1</v>
      </c>
      <c r="D1397" s="44">
        <f t="shared" si="64"/>
        <v>1396</v>
      </c>
      <c r="E1397" s="45" t="s">
        <v>1560</v>
      </c>
      <c r="F1397" s="46" t="s">
        <v>3308</v>
      </c>
    </row>
    <row r="1398" spans="1:6" ht="17">
      <c r="A1398" s="15">
        <f t="shared" ca="1" si="62"/>
        <v>622</v>
      </c>
      <c r="B1398" s="16">
        <f t="shared" ca="1" si="63"/>
        <v>0.6727884480573525</v>
      </c>
      <c r="C1398" s="17">
        <f>IF(AND(問題解答データベース!D1398&gt;=小テスト!$C$6,D1398&lt;=小テスト!$E$6),1,0)</f>
        <v>1</v>
      </c>
      <c r="D1398" s="44">
        <f t="shared" si="64"/>
        <v>1397</v>
      </c>
      <c r="E1398" s="45" t="s">
        <v>1561</v>
      </c>
      <c r="F1398" s="46" t="s">
        <v>3309</v>
      </c>
    </row>
    <row r="1399" spans="1:6" ht="17">
      <c r="A1399" s="15">
        <f t="shared" ca="1" si="62"/>
        <v>1866</v>
      </c>
      <c r="B1399" s="16">
        <f t="shared" ca="1" si="63"/>
        <v>1.5138838780701658E-2</v>
      </c>
      <c r="C1399" s="17">
        <f>IF(AND(問題解答データベース!D1399&gt;=小テスト!$C$6,D1399&lt;=小テスト!$E$6),1,0)</f>
        <v>1</v>
      </c>
      <c r="D1399" s="44">
        <f t="shared" si="64"/>
        <v>1398</v>
      </c>
      <c r="E1399" s="45" t="s">
        <v>1562</v>
      </c>
      <c r="F1399" s="46" t="s">
        <v>3310</v>
      </c>
    </row>
    <row r="1400" spans="1:6" ht="17">
      <c r="A1400" s="15">
        <f t="shared" ca="1" si="62"/>
        <v>1507</v>
      </c>
      <c r="B1400" s="16">
        <f t="shared" ca="1" si="63"/>
        <v>0.19755170061522909</v>
      </c>
      <c r="C1400" s="17">
        <f>IF(AND(問題解答データベース!D1400&gt;=小テスト!$C$6,D1400&lt;=小テスト!$E$6),1,0)</f>
        <v>1</v>
      </c>
      <c r="D1400" s="44">
        <f t="shared" si="64"/>
        <v>1399</v>
      </c>
      <c r="E1400" s="45" t="s">
        <v>1563</v>
      </c>
      <c r="F1400" s="46" t="s">
        <v>3311</v>
      </c>
    </row>
    <row r="1401" spans="1:6" ht="17">
      <c r="A1401" s="15">
        <f t="shared" ca="1" si="62"/>
        <v>1461</v>
      </c>
      <c r="B1401" s="16">
        <f t="shared" ca="1" si="63"/>
        <v>0.22715604471721773</v>
      </c>
      <c r="C1401" s="17">
        <f>IF(AND(問題解答データベース!D1401&gt;=小テスト!$C$6,D1401&lt;=小テスト!$E$6),1,0)</f>
        <v>1</v>
      </c>
      <c r="D1401" s="44">
        <f t="shared" si="64"/>
        <v>1400</v>
      </c>
      <c r="E1401" s="45" t="s">
        <v>1564</v>
      </c>
      <c r="F1401" s="46" t="s">
        <v>3312</v>
      </c>
    </row>
    <row r="1402" spans="1:6" ht="17">
      <c r="A1402" s="15">
        <f t="shared" ca="1" si="62"/>
        <v>793</v>
      </c>
      <c r="B1402" s="16">
        <f t="shared" ca="1" si="63"/>
        <v>0.5791148869648659</v>
      </c>
      <c r="C1402" s="17">
        <f>IF(AND(問題解答データベース!D1402&gt;=小テスト!$C$6,D1402&lt;=小テスト!$E$6),1,0)</f>
        <v>1</v>
      </c>
      <c r="D1402" s="44">
        <f t="shared" si="64"/>
        <v>1401</v>
      </c>
      <c r="E1402" s="45" t="s">
        <v>1565</v>
      </c>
      <c r="F1402" s="46" t="s">
        <v>3313</v>
      </c>
    </row>
    <row r="1403" spans="1:6" ht="17">
      <c r="A1403" s="15">
        <f t="shared" ca="1" si="62"/>
        <v>578</v>
      </c>
      <c r="B1403" s="16">
        <f t="shared" ca="1" si="63"/>
        <v>0.70021856114468428</v>
      </c>
      <c r="C1403" s="17">
        <f>IF(AND(問題解答データベース!D1403&gt;=小テスト!$C$6,D1403&lt;=小テスト!$E$6),1,0)</f>
        <v>1</v>
      </c>
      <c r="D1403" s="44">
        <f t="shared" si="64"/>
        <v>1402</v>
      </c>
      <c r="E1403" s="45" t="s">
        <v>1566</v>
      </c>
      <c r="F1403" s="46" t="s">
        <v>3314</v>
      </c>
    </row>
    <row r="1404" spans="1:6" ht="17">
      <c r="A1404" s="15">
        <f t="shared" ca="1" si="62"/>
        <v>1382</v>
      </c>
      <c r="B1404" s="16">
        <f t="shared" ca="1" si="63"/>
        <v>0.27380086583712737</v>
      </c>
      <c r="C1404" s="17">
        <f>IF(AND(問題解答データベース!D1404&gt;=小テスト!$C$6,D1404&lt;=小テスト!$E$6),1,0)</f>
        <v>1</v>
      </c>
      <c r="D1404" s="44">
        <f t="shared" si="64"/>
        <v>1403</v>
      </c>
      <c r="E1404" s="45" t="s">
        <v>1567</v>
      </c>
      <c r="F1404" s="46" t="s">
        <v>3315</v>
      </c>
    </row>
    <row r="1405" spans="1:6" ht="17">
      <c r="A1405" s="15">
        <f t="shared" ca="1" si="62"/>
        <v>1720</v>
      </c>
      <c r="B1405" s="16">
        <f t="shared" ca="1" si="63"/>
        <v>8.9519286574137547E-2</v>
      </c>
      <c r="C1405" s="17">
        <f>IF(AND(問題解答データベース!D1405&gt;=小テスト!$C$6,D1405&lt;=小テスト!$E$6),1,0)</f>
        <v>1</v>
      </c>
      <c r="D1405" s="44">
        <f t="shared" si="64"/>
        <v>1404</v>
      </c>
      <c r="E1405" s="45" t="s">
        <v>1568</v>
      </c>
      <c r="F1405" s="46" t="s">
        <v>3316</v>
      </c>
    </row>
    <row r="1406" spans="1:6" ht="17">
      <c r="A1406" s="15">
        <f t="shared" ca="1" si="62"/>
        <v>1616</v>
      </c>
      <c r="B1406" s="16">
        <f t="shared" ca="1" si="63"/>
        <v>0.14954674608943697</v>
      </c>
      <c r="C1406" s="17">
        <f>IF(AND(問題解答データベース!D1406&gt;=小テスト!$C$6,D1406&lt;=小テスト!$E$6),1,0)</f>
        <v>1</v>
      </c>
      <c r="D1406" s="44">
        <f t="shared" si="64"/>
        <v>1405</v>
      </c>
      <c r="E1406" s="45" t="s">
        <v>1569</v>
      </c>
      <c r="F1406" s="46" t="s">
        <v>3317</v>
      </c>
    </row>
    <row r="1407" spans="1:6" ht="17">
      <c r="A1407" s="15">
        <f t="shared" ca="1" si="62"/>
        <v>1832</v>
      </c>
      <c r="B1407" s="16">
        <f t="shared" ca="1" si="63"/>
        <v>3.4004444185152249E-2</v>
      </c>
      <c r="C1407" s="17">
        <f>IF(AND(問題解答データベース!D1407&gt;=小テスト!$C$6,D1407&lt;=小テスト!$E$6),1,0)</f>
        <v>1</v>
      </c>
      <c r="D1407" s="44">
        <f t="shared" si="64"/>
        <v>1406</v>
      </c>
      <c r="E1407" s="45" t="s">
        <v>1570</v>
      </c>
      <c r="F1407" s="46" t="s">
        <v>3318</v>
      </c>
    </row>
    <row r="1408" spans="1:6" ht="17">
      <c r="A1408" s="15">
        <f t="shared" ca="1" si="62"/>
        <v>1401</v>
      </c>
      <c r="B1408" s="16">
        <f t="shared" ca="1" si="63"/>
        <v>0.26561394957310203</v>
      </c>
      <c r="C1408" s="17">
        <f>IF(AND(問題解答データベース!D1408&gt;=小テスト!$C$6,D1408&lt;=小テスト!$E$6),1,0)</f>
        <v>1</v>
      </c>
      <c r="D1408" s="44">
        <f t="shared" si="64"/>
        <v>1407</v>
      </c>
      <c r="E1408" s="45" t="s">
        <v>1571</v>
      </c>
      <c r="F1408" s="46" t="s">
        <v>3319</v>
      </c>
    </row>
    <row r="1409" spans="1:6" ht="17">
      <c r="A1409" s="15">
        <f t="shared" ca="1" si="62"/>
        <v>739</v>
      </c>
      <c r="B1409" s="16">
        <f t="shared" ca="1" si="63"/>
        <v>0.6062294755872556</v>
      </c>
      <c r="C1409" s="17">
        <f>IF(AND(問題解答データベース!D1409&gt;=小テスト!$C$6,D1409&lt;=小テスト!$E$6),1,0)</f>
        <v>1</v>
      </c>
      <c r="D1409" s="44">
        <f t="shared" si="64"/>
        <v>1408</v>
      </c>
      <c r="E1409" s="45" t="s">
        <v>1572</v>
      </c>
      <c r="F1409" s="46" t="s">
        <v>3320</v>
      </c>
    </row>
    <row r="1410" spans="1:6" ht="17">
      <c r="A1410" s="15">
        <f t="shared" ca="1" si="62"/>
        <v>1771</v>
      </c>
      <c r="B1410" s="16">
        <f t="shared" ca="1" si="63"/>
        <v>6.3993305498972863E-2</v>
      </c>
      <c r="C1410" s="17">
        <f>IF(AND(問題解答データベース!D1410&gt;=小テスト!$C$6,D1410&lt;=小テスト!$E$6),1,0)</f>
        <v>1</v>
      </c>
      <c r="D1410" s="44">
        <f t="shared" si="64"/>
        <v>1409</v>
      </c>
      <c r="E1410" s="45" t="s">
        <v>1573</v>
      </c>
      <c r="F1410" s="46" t="s">
        <v>3321</v>
      </c>
    </row>
    <row r="1411" spans="1:6" ht="17">
      <c r="A1411" s="15">
        <f t="shared" ref="A1411:A1474" ca="1" si="65">RANK(B1411,$B$2:$B$1901,0)</f>
        <v>1246</v>
      </c>
      <c r="B1411" s="16">
        <f t="shared" ca="1" si="63"/>
        <v>0.35203886569362852</v>
      </c>
      <c r="C1411" s="17">
        <f>IF(AND(問題解答データベース!D1411&gt;=小テスト!$C$6,D1411&lt;=小テスト!$E$6),1,0)</f>
        <v>1</v>
      </c>
      <c r="D1411" s="44">
        <f t="shared" si="64"/>
        <v>1410</v>
      </c>
      <c r="E1411" s="45" t="s">
        <v>1574</v>
      </c>
      <c r="F1411" s="46" t="s">
        <v>3322</v>
      </c>
    </row>
    <row r="1412" spans="1:6" ht="17">
      <c r="A1412" s="15">
        <f t="shared" ca="1" si="65"/>
        <v>1808</v>
      </c>
      <c r="B1412" s="16">
        <f t="shared" ca="1" si="63"/>
        <v>4.4908617482817159E-2</v>
      </c>
      <c r="C1412" s="17">
        <f>IF(AND(問題解答データベース!D1412&gt;=小テスト!$C$6,D1412&lt;=小テスト!$E$6),1,0)</f>
        <v>1</v>
      </c>
      <c r="D1412" s="44">
        <f t="shared" si="64"/>
        <v>1411</v>
      </c>
      <c r="E1412" s="45" t="s">
        <v>1575</v>
      </c>
      <c r="F1412" s="46" t="s">
        <v>3323</v>
      </c>
    </row>
    <row r="1413" spans="1:6" ht="17">
      <c r="A1413" s="15">
        <f t="shared" ca="1" si="65"/>
        <v>299</v>
      </c>
      <c r="B1413" s="16">
        <f t="shared" ca="1" si="63"/>
        <v>0.8460935575724875</v>
      </c>
      <c r="C1413" s="17">
        <f>IF(AND(問題解答データベース!D1413&gt;=小テスト!$C$6,D1413&lt;=小テスト!$E$6),1,0)</f>
        <v>1</v>
      </c>
      <c r="D1413" s="44">
        <f t="shared" si="64"/>
        <v>1412</v>
      </c>
      <c r="E1413" s="45" t="s">
        <v>1576</v>
      </c>
      <c r="F1413" s="46" t="s">
        <v>3324</v>
      </c>
    </row>
    <row r="1414" spans="1:6" ht="17">
      <c r="A1414" s="15">
        <f t="shared" ca="1" si="65"/>
        <v>937</v>
      </c>
      <c r="B1414" s="16">
        <f t="shared" ca="1" si="63"/>
        <v>0.50634419465639535</v>
      </c>
      <c r="C1414" s="17">
        <f>IF(AND(問題解答データベース!D1414&gt;=小テスト!$C$6,D1414&lt;=小テスト!$E$6),1,0)</f>
        <v>1</v>
      </c>
      <c r="D1414" s="44">
        <f t="shared" si="64"/>
        <v>1413</v>
      </c>
      <c r="E1414" s="45" t="s">
        <v>1577</v>
      </c>
      <c r="F1414" s="46" t="s">
        <v>3325</v>
      </c>
    </row>
    <row r="1415" spans="1:6" ht="17">
      <c r="A1415" s="15">
        <f t="shared" ca="1" si="65"/>
        <v>264</v>
      </c>
      <c r="B1415" s="16">
        <f t="shared" ca="1" si="63"/>
        <v>0.86235261875554869</v>
      </c>
      <c r="C1415" s="17">
        <f>IF(AND(問題解答データベース!D1415&gt;=小テスト!$C$6,D1415&lt;=小テスト!$E$6),1,0)</f>
        <v>1</v>
      </c>
      <c r="D1415" s="44">
        <f t="shared" si="64"/>
        <v>1414</v>
      </c>
      <c r="E1415" s="45" t="s">
        <v>1578</v>
      </c>
      <c r="F1415" s="46" t="s">
        <v>3326</v>
      </c>
    </row>
    <row r="1416" spans="1:6" ht="17">
      <c r="A1416" s="15">
        <f t="shared" ca="1" si="65"/>
        <v>691</v>
      </c>
      <c r="B1416" s="16">
        <f t="shared" ca="1" si="63"/>
        <v>0.63160693545206803</v>
      </c>
      <c r="C1416" s="17">
        <f>IF(AND(問題解答データベース!D1416&gt;=小テスト!$C$6,D1416&lt;=小テスト!$E$6),1,0)</f>
        <v>1</v>
      </c>
      <c r="D1416" s="44">
        <f t="shared" si="64"/>
        <v>1415</v>
      </c>
      <c r="E1416" s="45" t="s">
        <v>1579</v>
      </c>
      <c r="F1416" s="46" t="s">
        <v>3327</v>
      </c>
    </row>
    <row r="1417" spans="1:6" ht="17">
      <c r="A1417" s="15">
        <f t="shared" ca="1" si="65"/>
        <v>1464</v>
      </c>
      <c r="B1417" s="16">
        <f t="shared" ca="1" si="63"/>
        <v>0.22601118594818292</v>
      </c>
      <c r="C1417" s="17">
        <f>IF(AND(問題解答データベース!D1417&gt;=小テスト!$C$6,D1417&lt;=小テスト!$E$6),1,0)</f>
        <v>1</v>
      </c>
      <c r="D1417" s="44">
        <f t="shared" si="64"/>
        <v>1416</v>
      </c>
      <c r="E1417" s="45" t="s">
        <v>1580</v>
      </c>
      <c r="F1417" s="46" t="s">
        <v>3328</v>
      </c>
    </row>
    <row r="1418" spans="1:6" ht="17">
      <c r="A1418" s="15">
        <f t="shared" ca="1" si="65"/>
        <v>1889</v>
      </c>
      <c r="B1418" s="16">
        <f t="shared" ref="B1418:B1481" ca="1" si="66">IF(C1418=1,RAND(),0)</f>
        <v>5.4626785362962282E-3</v>
      </c>
      <c r="C1418" s="17">
        <f>IF(AND(問題解答データベース!D1418&gt;=小テスト!$C$6,D1418&lt;=小テスト!$E$6),1,0)</f>
        <v>1</v>
      </c>
      <c r="D1418" s="44">
        <f t="shared" si="64"/>
        <v>1417</v>
      </c>
      <c r="E1418" s="45" t="s">
        <v>1581</v>
      </c>
      <c r="F1418" s="46" t="s">
        <v>3329</v>
      </c>
    </row>
    <row r="1419" spans="1:6" ht="17">
      <c r="A1419" s="15">
        <f t="shared" ca="1" si="65"/>
        <v>168</v>
      </c>
      <c r="B1419" s="16">
        <f t="shared" ca="1" si="66"/>
        <v>0.91904801117989576</v>
      </c>
      <c r="C1419" s="17">
        <f>IF(AND(問題解答データベース!D1419&gt;=小テスト!$C$6,D1419&lt;=小テスト!$E$6),1,0)</f>
        <v>1</v>
      </c>
      <c r="D1419" s="44">
        <f t="shared" si="64"/>
        <v>1418</v>
      </c>
      <c r="E1419" s="45" t="s">
        <v>1582</v>
      </c>
      <c r="F1419" s="46" t="s">
        <v>3330</v>
      </c>
    </row>
    <row r="1420" spans="1:6" ht="17">
      <c r="A1420" s="15">
        <f t="shared" ca="1" si="65"/>
        <v>245</v>
      </c>
      <c r="B1420" s="16">
        <f t="shared" ca="1" si="66"/>
        <v>0.87282911928440454</v>
      </c>
      <c r="C1420" s="17">
        <f>IF(AND(問題解答データベース!D1420&gt;=小テスト!$C$6,D1420&lt;=小テスト!$E$6),1,0)</f>
        <v>1</v>
      </c>
      <c r="D1420" s="44">
        <f t="shared" si="64"/>
        <v>1419</v>
      </c>
      <c r="E1420" s="45" t="s">
        <v>1583</v>
      </c>
      <c r="F1420" s="46" t="s">
        <v>3331</v>
      </c>
    </row>
    <row r="1421" spans="1:6" ht="17">
      <c r="A1421" s="15">
        <f t="shared" ca="1" si="65"/>
        <v>504</v>
      </c>
      <c r="B1421" s="16">
        <f t="shared" ca="1" si="66"/>
        <v>0.73847955930699893</v>
      </c>
      <c r="C1421" s="17">
        <f>IF(AND(問題解答データベース!D1421&gt;=小テスト!$C$6,D1421&lt;=小テスト!$E$6),1,0)</f>
        <v>1</v>
      </c>
      <c r="D1421" s="44">
        <f t="shared" si="64"/>
        <v>1420</v>
      </c>
      <c r="E1421" s="45" t="s">
        <v>1584</v>
      </c>
      <c r="F1421" s="46" t="s">
        <v>3332</v>
      </c>
    </row>
    <row r="1422" spans="1:6" ht="17">
      <c r="A1422" s="15">
        <f t="shared" ca="1" si="65"/>
        <v>1462</v>
      </c>
      <c r="B1422" s="16">
        <f t="shared" ca="1" si="66"/>
        <v>0.2268167961148676</v>
      </c>
      <c r="C1422" s="17">
        <f>IF(AND(問題解答データベース!D1422&gt;=小テスト!$C$6,D1422&lt;=小テスト!$E$6),1,0)</f>
        <v>1</v>
      </c>
      <c r="D1422" s="44">
        <f t="shared" si="64"/>
        <v>1421</v>
      </c>
      <c r="E1422" s="45" t="s">
        <v>1585</v>
      </c>
      <c r="F1422" s="46" t="s">
        <v>3333</v>
      </c>
    </row>
    <row r="1423" spans="1:6" ht="17">
      <c r="A1423" s="15">
        <f t="shared" ca="1" si="65"/>
        <v>573</v>
      </c>
      <c r="B1423" s="16">
        <f t="shared" ca="1" si="66"/>
        <v>0.70184166859550901</v>
      </c>
      <c r="C1423" s="17">
        <f>IF(AND(問題解答データベース!D1423&gt;=小テスト!$C$6,D1423&lt;=小テスト!$E$6),1,0)</f>
        <v>1</v>
      </c>
      <c r="D1423" s="44">
        <f t="shared" si="64"/>
        <v>1422</v>
      </c>
      <c r="E1423" s="45" t="s">
        <v>1586</v>
      </c>
      <c r="F1423" s="46" t="s">
        <v>3334</v>
      </c>
    </row>
    <row r="1424" spans="1:6" ht="17">
      <c r="A1424" s="15">
        <f t="shared" ca="1" si="65"/>
        <v>1494</v>
      </c>
      <c r="B1424" s="16">
        <f t="shared" ca="1" si="66"/>
        <v>0.20469692722741062</v>
      </c>
      <c r="C1424" s="17">
        <f>IF(AND(問題解答データベース!D1424&gt;=小テスト!$C$6,D1424&lt;=小テスト!$E$6),1,0)</f>
        <v>1</v>
      </c>
      <c r="D1424" s="44">
        <f t="shared" si="64"/>
        <v>1423</v>
      </c>
      <c r="E1424" s="45" t="s">
        <v>1587</v>
      </c>
      <c r="F1424" s="46" t="s">
        <v>3335</v>
      </c>
    </row>
    <row r="1425" spans="1:6" ht="17">
      <c r="A1425" s="15">
        <f t="shared" ca="1" si="65"/>
        <v>1045</v>
      </c>
      <c r="B1425" s="16">
        <f t="shared" ca="1" si="66"/>
        <v>0.45883331099760549</v>
      </c>
      <c r="C1425" s="17">
        <f>IF(AND(問題解答データベース!D1425&gt;=小テスト!$C$6,D1425&lt;=小テスト!$E$6),1,0)</f>
        <v>1</v>
      </c>
      <c r="D1425" s="44">
        <f t="shared" si="64"/>
        <v>1424</v>
      </c>
      <c r="E1425" s="45" t="s">
        <v>1588</v>
      </c>
      <c r="F1425" s="46" t="s">
        <v>3336</v>
      </c>
    </row>
    <row r="1426" spans="1:6" ht="17">
      <c r="A1426" s="15">
        <f t="shared" ca="1" si="65"/>
        <v>1027</v>
      </c>
      <c r="B1426" s="16">
        <f t="shared" ca="1" si="66"/>
        <v>0.46779387923713078</v>
      </c>
      <c r="C1426" s="17">
        <f>IF(AND(問題解答データベース!D1426&gt;=小テスト!$C$6,D1426&lt;=小テスト!$E$6),1,0)</f>
        <v>1</v>
      </c>
      <c r="D1426" s="44">
        <f t="shared" si="64"/>
        <v>1425</v>
      </c>
      <c r="E1426" s="45" t="s">
        <v>1589</v>
      </c>
      <c r="F1426" s="46" t="s">
        <v>3337</v>
      </c>
    </row>
    <row r="1427" spans="1:6" ht="17">
      <c r="A1427" s="15">
        <f t="shared" ca="1" si="65"/>
        <v>1788</v>
      </c>
      <c r="B1427" s="16">
        <f t="shared" ca="1" si="66"/>
        <v>5.4298686740084645E-2</v>
      </c>
      <c r="C1427" s="17">
        <f>IF(AND(問題解答データベース!D1427&gt;=小テスト!$C$6,D1427&lt;=小テスト!$E$6),1,0)</f>
        <v>1</v>
      </c>
      <c r="D1427" s="44">
        <f t="shared" si="64"/>
        <v>1426</v>
      </c>
      <c r="E1427" s="45" t="s">
        <v>1590</v>
      </c>
      <c r="F1427" s="46" t="s">
        <v>3338</v>
      </c>
    </row>
    <row r="1428" spans="1:6" ht="17">
      <c r="A1428" s="15">
        <f t="shared" ca="1" si="65"/>
        <v>1345</v>
      </c>
      <c r="B1428" s="16">
        <f t="shared" ca="1" si="66"/>
        <v>0.29624690334517545</v>
      </c>
      <c r="C1428" s="17">
        <f>IF(AND(問題解答データベース!D1428&gt;=小テスト!$C$6,D1428&lt;=小テスト!$E$6),1,0)</f>
        <v>1</v>
      </c>
      <c r="D1428" s="44">
        <f t="shared" si="64"/>
        <v>1427</v>
      </c>
      <c r="E1428" s="45" t="s">
        <v>1591</v>
      </c>
      <c r="F1428" s="46" t="s">
        <v>3339</v>
      </c>
    </row>
    <row r="1429" spans="1:6" ht="17">
      <c r="A1429" s="15">
        <f t="shared" ca="1" si="65"/>
        <v>807</v>
      </c>
      <c r="B1429" s="16">
        <f t="shared" ca="1" si="66"/>
        <v>0.57434793799899841</v>
      </c>
      <c r="C1429" s="17">
        <f>IF(AND(問題解答データベース!D1429&gt;=小テスト!$C$6,D1429&lt;=小テスト!$E$6),1,0)</f>
        <v>1</v>
      </c>
      <c r="D1429" s="44">
        <f t="shared" si="64"/>
        <v>1428</v>
      </c>
      <c r="E1429" s="45" t="s">
        <v>1592</v>
      </c>
      <c r="F1429" s="46" t="s">
        <v>3340</v>
      </c>
    </row>
    <row r="1430" spans="1:6" ht="17">
      <c r="A1430" s="15">
        <f t="shared" ca="1" si="65"/>
        <v>1744</v>
      </c>
      <c r="B1430" s="16">
        <f t="shared" ca="1" si="66"/>
        <v>7.8355272835054501E-2</v>
      </c>
      <c r="C1430" s="17">
        <f>IF(AND(問題解答データベース!D1430&gt;=小テスト!$C$6,D1430&lt;=小テスト!$E$6),1,0)</f>
        <v>1</v>
      </c>
      <c r="D1430" s="44">
        <f t="shared" si="64"/>
        <v>1429</v>
      </c>
      <c r="E1430" s="45" t="s">
        <v>1593</v>
      </c>
      <c r="F1430" s="46" t="s">
        <v>3341</v>
      </c>
    </row>
    <row r="1431" spans="1:6" ht="17">
      <c r="A1431" s="15">
        <f t="shared" ca="1" si="65"/>
        <v>1716</v>
      </c>
      <c r="B1431" s="16">
        <f t="shared" ca="1" si="66"/>
        <v>9.0514064758891233E-2</v>
      </c>
      <c r="C1431" s="17">
        <f>IF(AND(問題解答データベース!D1431&gt;=小テスト!$C$6,D1431&lt;=小テスト!$E$6),1,0)</f>
        <v>1</v>
      </c>
      <c r="D1431" s="44">
        <f t="shared" si="64"/>
        <v>1430</v>
      </c>
      <c r="E1431" s="45" t="s">
        <v>1594</v>
      </c>
      <c r="F1431" s="46" t="s">
        <v>3342</v>
      </c>
    </row>
    <row r="1432" spans="1:6" ht="17">
      <c r="A1432" s="15">
        <f t="shared" ca="1" si="65"/>
        <v>1768</v>
      </c>
      <c r="B1432" s="16">
        <f t="shared" ca="1" si="66"/>
        <v>6.4758389192088317E-2</v>
      </c>
      <c r="C1432" s="17">
        <f>IF(AND(問題解答データベース!D1432&gt;=小テスト!$C$6,D1432&lt;=小テスト!$E$6),1,0)</f>
        <v>1</v>
      </c>
      <c r="D1432" s="44">
        <f t="shared" si="64"/>
        <v>1431</v>
      </c>
      <c r="E1432" s="45" t="s">
        <v>1595</v>
      </c>
      <c r="F1432" s="46" t="s">
        <v>3343</v>
      </c>
    </row>
    <row r="1433" spans="1:6" ht="17">
      <c r="A1433" s="15">
        <f t="shared" ca="1" si="65"/>
        <v>8</v>
      </c>
      <c r="B1433" s="16">
        <f t="shared" ca="1" si="66"/>
        <v>0.9963095971472774</v>
      </c>
      <c r="C1433" s="17">
        <f>IF(AND(問題解答データベース!D1433&gt;=小テスト!$C$6,D1433&lt;=小テスト!$E$6),1,0)</f>
        <v>1</v>
      </c>
      <c r="D1433" s="44">
        <f t="shared" si="64"/>
        <v>1432</v>
      </c>
      <c r="E1433" s="45" t="s">
        <v>1596</v>
      </c>
      <c r="F1433" s="46" t="s">
        <v>3344</v>
      </c>
    </row>
    <row r="1434" spans="1:6" ht="17">
      <c r="A1434" s="15">
        <f t="shared" ca="1" si="65"/>
        <v>543</v>
      </c>
      <c r="B1434" s="16">
        <f t="shared" ca="1" si="66"/>
        <v>0.71673022616847881</v>
      </c>
      <c r="C1434" s="17">
        <f>IF(AND(問題解答データベース!D1434&gt;=小テスト!$C$6,D1434&lt;=小テスト!$E$6),1,0)</f>
        <v>1</v>
      </c>
      <c r="D1434" s="44">
        <f t="shared" si="64"/>
        <v>1433</v>
      </c>
      <c r="E1434" s="45" t="s">
        <v>1597</v>
      </c>
      <c r="F1434" s="46" t="s">
        <v>3345</v>
      </c>
    </row>
    <row r="1435" spans="1:6" ht="17">
      <c r="A1435" s="15">
        <f t="shared" ca="1" si="65"/>
        <v>1277</v>
      </c>
      <c r="B1435" s="16">
        <f t="shared" ca="1" si="66"/>
        <v>0.33474743588544786</v>
      </c>
      <c r="C1435" s="17">
        <f>IF(AND(問題解答データベース!D1435&gt;=小テスト!$C$6,D1435&lt;=小テスト!$E$6),1,0)</f>
        <v>1</v>
      </c>
      <c r="D1435" s="44">
        <f t="shared" si="64"/>
        <v>1434</v>
      </c>
      <c r="E1435" s="45" t="s">
        <v>1598</v>
      </c>
      <c r="F1435" s="46" t="s">
        <v>3346</v>
      </c>
    </row>
    <row r="1436" spans="1:6" ht="17">
      <c r="A1436" s="15">
        <f t="shared" ca="1" si="65"/>
        <v>1206</v>
      </c>
      <c r="B1436" s="16">
        <f t="shared" ca="1" si="66"/>
        <v>0.36519600222490234</v>
      </c>
      <c r="C1436" s="17">
        <f>IF(AND(問題解答データベース!D1436&gt;=小テスト!$C$6,D1436&lt;=小テスト!$E$6),1,0)</f>
        <v>1</v>
      </c>
      <c r="D1436" s="44">
        <f t="shared" ref="D1436:D1499" si="67">D1435+1</f>
        <v>1435</v>
      </c>
      <c r="E1436" s="45" t="s">
        <v>1599</v>
      </c>
      <c r="F1436" s="46" t="s">
        <v>3347</v>
      </c>
    </row>
    <row r="1437" spans="1:6" ht="17">
      <c r="A1437" s="15">
        <f t="shared" ca="1" si="65"/>
        <v>1012</v>
      </c>
      <c r="B1437" s="16">
        <f t="shared" ca="1" si="66"/>
        <v>0.47270706531102036</v>
      </c>
      <c r="C1437" s="17">
        <f>IF(AND(問題解答データベース!D1437&gt;=小テスト!$C$6,D1437&lt;=小テスト!$E$6),1,0)</f>
        <v>1</v>
      </c>
      <c r="D1437" s="44">
        <f t="shared" si="67"/>
        <v>1436</v>
      </c>
      <c r="E1437" s="45" t="s">
        <v>1600</v>
      </c>
      <c r="F1437" s="46" t="s">
        <v>3348</v>
      </c>
    </row>
    <row r="1438" spans="1:6" ht="17">
      <c r="A1438" s="15">
        <f t="shared" ca="1" si="65"/>
        <v>1752</v>
      </c>
      <c r="B1438" s="16">
        <f t="shared" ca="1" si="66"/>
        <v>7.4347066736175971E-2</v>
      </c>
      <c r="C1438" s="17">
        <f>IF(AND(問題解答データベース!D1438&gt;=小テスト!$C$6,D1438&lt;=小テスト!$E$6),1,0)</f>
        <v>1</v>
      </c>
      <c r="D1438" s="44">
        <f t="shared" si="67"/>
        <v>1437</v>
      </c>
      <c r="E1438" s="45" t="s">
        <v>1601</v>
      </c>
      <c r="F1438" s="46" t="s">
        <v>3349</v>
      </c>
    </row>
    <row r="1439" spans="1:6" ht="17">
      <c r="A1439" s="15">
        <f t="shared" ca="1" si="65"/>
        <v>1335</v>
      </c>
      <c r="B1439" s="16">
        <f t="shared" ca="1" si="66"/>
        <v>0.29953226216739137</v>
      </c>
      <c r="C1439" s="17">
        <f>IF(AND(問題解答データベース!D1439&gt;=小テスト!$C$6,D1439&lt;=小テスト!$E$6),1,0)</f>
        <v>1</v>
      </c>
      <c r="D1439" s="44">
        <f t="shared" si="67"/>
        <v>1438</v>
      </c>
      <c r="E1439" s="45" t="s">
        <v>1602</v>
      </c>
      <c r="F1439" s="46" t="s">
        <v>3350</v>
      </c>
    </row>
    <row r="1440" spans="1:6" ht="17">
      <c r="A1440" s="15">
        <f t="shared" ca="1" si="65"/>
        <v>1662</v>
      </c>
      <c r="B1440" s="16">
        <f t="shared" ca="1" si="66"/>
        <v>0.1212847495178967</v>
      </c>
      <c r="C1440" s="17">
        <f>IF(AND(問題解答データベース!D1440&gt;=小テスト!$C$6,D1440&lt;=小テスト!$E$6),1,0)</f>
        <v>1</v>
      </c>
      <c r="D1440" s="44">
        <f t="shared" si="67"/>
        <v>1439</v>
      </c>
      <c r="E1440" s="45" t="s">
        <v>1603</v>
      </c>
      <c r="F1440" s="46" t="s">
        <v>3351</v>
      </c>
    </row>
    <row r="1441" spans="1:6" ht="17">
      <c r="A1441" s="15">
        <f t="shared" ca="1" si="65"/>
        <v>1723</v>
      </c>
      <c r="B1441" s="16">
        <f t="shared" ca="1" si="66"/>
        <v>8.763457406923858E-2</v>
      </c>
      <c r="C1441" s="17">
        <f>IF(AND(問題解答データベース!D1441&gt;=小テスト!$C$6,D1441&lt;=小テスト!$E$6),1,0)</f>
        <v>1</v>
      </c>
      <c r="D1441" s="44">
        <f t="shared" si="67"/>
        <v>1440</v>
      </c>
      <c r="E1441" s="45" t="s">
        <v>1604</v>
      </c>
      <c r="F1441" s="46" t="s">
        <v>3352</v>
      </c>
    </row>
    <row r="1442" spans="1:6" ht="17">
      <c r="A1442" s="15">
        <f t="shared" ca="1" si="65"/>
        <v>1815</v>
      </c>
      <c r="B1442" s="16">
        <f t="shared" ca="1" si="66"/>
        <v>4.1388598299422208E-2</v>
      </c>
      <c r="C1442" s="17">
        <f>IF(AND(問題解答データベース!D1442&gt;=小テスト!$C$6,D1442&lt;=小テスト!$E$6),1,0)</f>
        <v>1</v>
      </c>
      <c r="D1442" s="44">
        <f t="shared" si="67"/>
        <v>1441</v>
      </c>
      <c r="E1442" s="45" t="s">
        <v>1605</v>
      </c>
      <c r="F1442" s="46" t="s">
        <v>3353</v>
      </c>
    </row>
    <row r="1443" spans="1:6" ht="17">
      <c r="A1443" s="15">
        <f t="shared" ca="1" si="65"/>
        <v>732</v>
      </c>
      <c r="B1443" s="16">
        <f t="shared" ca="1" si="66"/>
        <v>0.61161481258461969</v>
      </c>
      <c r="C1443" s="17">
        <f>IF(AND(問題解答データベース!D1443&gt;=小テスト!$C$6,D1443&lt;=小テスト!$E$6),1,0)</f>
        <v>1</v>
      </c>
      <c r="D1443" s="44">
        <f t="shared" si="67"/>
        <v>1442</v>
      </c>
      <c r="E1443" s="45" t="s">
        <v>1606</v>
      </c>
      <c r="F1443" s="46" t="s">
        <v>3354</v>
      </c>
    </row>
    <row r="1444" spans="1:6" ht="17">
      <c r="A1444" s="15">
        <f t="shared" ca="1" si="65"/>
        <v>1317</v>
      </c>
      <c r="B1444" s="16">
        <f t="shared" ca="1" si="66"/>
        <v>0.31067718733578797</v>
      </c>
      <c r="C1444" s="17">
        <f>IF(AND(問題解答データベース!D1444&gt;=小テスト!$C$6,D1444&lt;=小テスト!$E$6),1,0)</f>
        <v>1</v>
      </c>
      <c r="D1444" s="44">
        <f t="shared" si="67"/>
        <v>1443</v>
      </c>
      <c r="E1444" s="45" t="s">
        <v>1607</v>
      </c>
      <c r="F1444" s="46" t="s">
        <v>3355</v>
      </c>
    </row>
    <row r="1445" spans="1:6" ht="17">
      <c r="A1445" s="15">
        <f t="shared" ca="1" si="65"/>
        <v>121</v>
      </c>
      <c r="B1445" s="16">
        <f t="shared" ca="1" si="66"/>
        <v>0.94226098496979227</v>
      </c>
      <c r="C1445" s="17">
        <f>IF(AND(問題解答データベース!D1445&gt;=小テスト!$C$6,D1445&lt;=小テスト!$E$6),1,0)</f>
        <v>1</v>
      </c>
      <c r="D1445" s="44">
        <f t="shared" si="67"/>
        <v>1444</v>
      </c>
      <c r="E1445" s="45" t="s">
        <v>1608</v>
      </c>
      <c r="F1445" s="46" t="s">
        <v>3356</v>
      </c>
    </row>
    <row r="1446" spans="1:6" ht="17">
      <c r="A1446" s="15">
        <f t="shared" ca="1" si="65"/>
        <v>670</v>
      </c>
      <c r="B1446" s="16">
        <f t="shared" ca="1" si="66"/>
        <v>0.64929424317854612</v>
      </c>
      <c r="C1446" s="17">
        <f>IF(AND(問題解答データベース!D1446&gt;=小テスト!$C$6,D1446&lt;=小テスト!$E$6),1,0)</f>
        <v>1</v>
      </c>
      <c r="D1446" s="44">
        <f t="shared" si="67"/>
        <v>1445</v>
      </c>
      <c r="E1446" s="45" t="s">
        <v>1609</v>
      </c>
      <c r="F1446" s="46" t="s">
        <v>3357</v>
      </c>
    </row>
    <row r="1447" spans="1:6" ht="17">
      <c r="A1447" s="15">
        <f t="shared" ca="1" si="65"/>
        <v>832</v>
      </c>
      <c r="B1447" s="16">
        <f t="shared" ca="1" si="66"/>
        <v>0.55687804178288536</v>
      </c>
      <c r="C1447" s="17">
        <f>IF(AND(問題解答データベース!D1447&gt;=小テスト!$C$6,D1447&lt;=小テスト!$E$6),1,0)</f>
        <v>1</v>
      </c>
      <c r="D1447" s="44">
        <f t="shared" si="67"/>
        <v>1446</v>
      </c>
      <c r="E1447" s="45" t="s">
        <v>1610</v>
      </c>
      <c r="F1447" s="46" t="s">
        <v>3358</v>
      </c>
    </row>
    <row r="1448" spans="1:6" ht="17">
      <c r="A1448" s="15">
        <f t="shared" ca="1" si="65"/>
        <v>322</v>
      </c>
      <c r="B1448" s="16">
        <f t="shared" ca="1" si="66"/>
        <v>0.82747213376750428</v>
      </c>
      <c r="C1448" s="17">
        <f>IF(AND(問題解答データベース!D1448&gt;=小テスト!$C$6,D1448&lt;=小テスト!$E$6),1,0)</f>
        <v>1</v>
      </c>
      <c r="D1448" s="44">
        <f t="shared" si="67"/>
        <v>1447</v>
      </c>
      <c r="E1448" s="45" t="s">
        <v>1611</v>
      </c>
      <c r="F1448" s="46" t="s">
        <v>3359</v>
      </c>
    </row>
    <row r="1449" spans="1:6" ht="17">
      <c r="A1449" s="15">
        <f t="shared" ca="1" si="65"/>
        <v>250</v>
      </c>
      <c r="B1449" s="16">
        <f t="shared" ca="1" si="66"/>
        <v>0.87109367968667772</v>
      </c>
      <c r="C1449" s="17">
        <f>IF(AND(問題解答データベース!D1449&gt;=小テスト!$C$6,D1449&lt;=小テスト!$E$6),1,0)</f>
        <v>1</v>
      </c>
      <c r="D1449" s="44">
        <f t="shared" si="67"/>
        <v>1448</v>
      </c>
      <c r="E1449" s="45" t="s">
        <v>1612</v>
      </c>
      <c r="F1449" s="46" t="s">
        <v>3360</v>
      </c>
    </row>
    <row r="1450" spans="1:6" ht="17">
      <c r="A1450" s="15">
        <f t="shared" ca="1" si="65"/>
        <v>814</v>
      </c>
      <c r="B1450" s="16">
        <f t="shared" ca="1" si="66"/>
        <v>0.56934439128681258</v>
      </c>
      <c r="C1450" s="17">
        <f>IF(AND(問題解答データベース!D1450&gt;=小テスト!$C$6,D1450&lt;=小テスト!$E$6),1,0)</f>
        <v>1</v>
      </c>
      <c r="D1450" s="44">
        <f t="shared" si="67"/>
        <v>1449</v>
      </c>
      <c r="E1450" s="45" t="s">
        <v>1613</v>
      </c>
      <c r="F1450" s="46" t="s">
        <v>3361</v>
      </c>
    </row>
    <row r="1451" spans="1:6" ht="17">
      <c r="A1451" s="15">
        <f t="shared" ca="1" si="65"/>
        <v>519</v>
      </c>
      <c r="B1451" s="16">
        <f t="shared" ca="1" si="66"/>
        <v>0.73132006604333788</v>
      </c>
      <c r="C1451" s="17">
        <f>IF(AND(問題解答データベース!D1451&gt;=小テスト!$C$6,D1451&lt;=小テスト!$E$6),1,0)</f>
        <v>1</v>
      </c>
      <c r="D1451" s="44">
        <f t="shared" si="67"/>
        <v>1450</v>
      </c>
      <c r="E1451" s="45" t="s">
        <v>1614</v>
      </c>
      <c r="F1451" s="46" t="s">
        <v>3362</v>
      </c>
    </row>
    <row r="1452" spans="1:6" ht="17">
      <c r="A1452" s="15">
        <f t="shared" ca="1" si="65"/>
        <v>980</v>
      </c>
      <c r="B1452" s="16">
        <f t="shared" ca="1" si="66"/>
        <v>0.48653465176278632</v>
      </c>
      <c r="C1452" s="17">
        <f>IF(AND(問題解答データベース!D1452&gt;=小テスト!$C$6,D1452&lt;=小テスト!$E$6),1,0)</f>
        <v>1</v>
      </c>
      <c r="D1452" s="44">
        <f t="shared" si="67"/>
        <v>1451</v>
      </c>
      <c r="E1452" s="45" t="s">
        <v>1615</v>
      </c>
      <c r="F1452" s="46" t="s">
        <v>3363</v>
      </c>
    </row>
    <row r="1453" spans="1:6" ht="17">
      <c r="A1453" s="15">
        <f t="shared" ca="1" si="65"/>
        <v>1359</v>
      </c>
      <c r="B1453" s="16">
        <f t="shared" ca="1" si="66"/>
        <v>0.28871051612146614</v>
      </c>
      <c r="C1453" s="17">
        <f>IF(AND(問題解答データベース!D1453&gt;=小テスト!$C$6,D1453&lt;=小テスト!$E$6),1,0)</f>
        <v>1</v>
      </c>
      <c r="D1453" s="44">
        <f t="shared" si="67"/>
        <v>1452</v>
      </c>
      <c r="E1453" s="45" t="s">
        <v>1616</v>
      </c>
      <c r="F1453" s="46" t="s">
        <v>3364</v>
      </c>
    </row>
    <row r="1454" spans="1:6" ht="17">
      <c r="A1454" s="15">
        <f t="shared" ca="1" si="65"/>
        <v>1541</v>
      </c>
      <c r="B1454" s="16">
        <f t="shared" ca="1" si="66"/>
        <v>0.18331232035699929</v>
      </c>
      <c r="C1454" s="17">
        <f>IF(AND(問題解答データベース!D1454&gt;=小テスト!$C$6,D1454&lt;=小テスト!$E$6),1,0)</f>
        <v>1</v>
      </c>
      <c r="D1454" s="44">
        <f t="shared" si="67"/>
        <v>1453</v>
      </c>
      <c r="E1454" s="45" t="s">
        <v>1617</v>
      </c>
      <c r="F1454" s="46" t="s">
        <v>3365</v>
      </c>
    </row>
    <row r="1455" spans="1:6" ht="17">
      <c r="A1455" s="15">
        <f t="shared" ca="1" si="65"/>
        <v>235</v>
      </c>
      <c r="B1455" s="16">
        <f t="shared" ca="1" si="66"/>
        <v>0.87791295175603523</v>
      </c>
      <c r="C1455" s="17">
        <f>IF(AND(問題解答データベース!D1455&gt;=小テスト!$C$6,D1455&lt;=小テスト!$E$6),1,0)</f>
        <v>1</v>
      </c>
      <c r="D1455" s="44">
        <f t="shared" si="67"/>
        <v>1454</v>
      </c>
      <c r="E1455" s="45" t="s">
        <v>1618</v>
      </c>
      <c r="F1455" s="46" t="s">
        <v>3366</v>
      </c>
    </row>
    <row r="1456" spans="1:6" ht="17">
      <c r="A1456" s="15">
        <f t="shared" ca="1" si="65"/>
        <v>1740</v>
      </c>
      <c r="B1456" s="16">
        <f t="shared" ca="1" si="66"/>
        <v>7.9041222456647686E-2</v>
      </c>
      <c r="C1456" s="17">
        <f>IF(AND(問題解答データベース!D1456&gt;=小テスト!$C$6,D1456&lt;=小テスト!$E$6),1,0)</f>
        <v>1</v>
      </c>
      <c r="D1456" s="44">
        <f t="shared" si="67"/>
        <v>1455</v>
      </c>
      <c r="E1456" s="45" t="s">
        <v>1619</v>
      </c>
      <c r="F1456" s="46" t="s">
        <v>3367</v>
      </c>
    </row>
    <row r="1457" spans="1:6" ht="17">
      <c r="A1457" s="15">
        <f t="shared" ca="1" si="65"/>
        <v>748</v>
      </c>
      <c r="B1457" s="16">
        <f t="shared" ca="1" si="66"/>
        <v>0.60474705641692161</v>
      </c>
      <c r="C1457" s="17">
        <f>IF(AND(問題解答データベース!D1457&gt;=小テスト!$C$6,D1457&lt;=小テスト!$E$6),1,0)</f>
        <v>1</v>
      </c>
      <c r="D1457" s="44">
        <f t="shared" si="67"/>
        <v>1456</v>
      </c>
      <c r="E1457" s="45" t="s">
        <v>1620</v>
      </c>
      <c r="F1457" s="46" t="s">
        <v>3368</v>
      </c>
    </row>
    <row r="1458" spans="1:6" ht="17">
      <c r="A1458" s="15">
        <f t="shared" ca="1" si="65"/>
        <v>158</v>
      </c>
      <c r="B1458" s="16">
        <f t="shared" ca="1" si="66"/>
        <v>0.92219148354873315</v>
      </c>
      <c r="C1458" s="17">
        <f>IF(AND(問題解答データベース!D1458&gt;=小テスト!$C$6,D1458&lt;=小テスト!$E$6),1,0)</f>
        <v>1</v>
      </c>
      <c r="D1458" s="44">
        <f t="shared" si="67"/>
        <v>1457</v>
      </c>
      <c r="E1458" s="45" t="s">
        <v>1621</v>
      </c>
      <c r="F1458" s="46" t="s">
        <v>3369</v>
      </c>
    </row>
    <row r="1459" spans="1:6" ht="17">
      <c r="A1459" s="15">
        <f t="shared" ca="1" si="65"/>
        <v>344</v>
      </c>
      <c r="B1459" s="16">
        <f t="shared" ca="1" si="66"/>
        <v>0.81470199024232337</v>
      </c>
      <c r="C1459" s="17">
        <f>IF(AND(問題解答データベース!D1459&gt;=小テスト!$C$6,D1459&lt;=小テスト!$E$6),1,0)</f>
        <v>1</v>
      </c>
      <c r="D1459" s="44">
        <f t="shared" si="67"/>
        <v>1458</v>
      </c>
      <c r="E1459" s="45" t="s">
        <v>1622</v>
      </c>
      <c r="F1459" s="46" t="s">
        <v>3370</v>
      </c>
    </row>
    <row r="1460" spans="1:6" ht="17">
      <c r="A1460" s="15">
        <f t="shared" ca="1" si="65"/>
        <v>1040</v>
      </c>
      <c r="B1460" s="16">
        <f t="shared" ca="1" si="66"/>
        <v>0.46135683194421584</v>
      </c>
      <c r="C1460" s="17">
        <f>IF(AND(問題解答データベース!D1460&gt;=小テスト!$C$6,D1460&lt;=小テスト!$E$6),1,0)</f>
        <v>1</v>
      </c>
      <c r="D1460" s="44">
        <f t="shared" si="67"/>
        <v>1459</v>
      </c>
      <c r="E1460" s="45" t="s">
        <v>1623</v>
      </c>
      <c r="F1460" s="46" t="s">
        <v>3371</v>
      </c>
    </row>
    <row r="1461" spans="1:6" ht="17">
      <c r="A1461" s="15">
        <f t="shared" ca="1" si="65"/>
        <v>1597</v>
      </c>
      <c r="B1461" s="16">
        <f t="shared" ca="1" si="66"/>
        <v>0.15797942525365904</v>
      </c>
      <c r="C1461" s="17">
        <f>IF(AND(問題解答データベース!D1461&gt;=小テスト!$C$6,D1461&lt;=小テスト!$E$6),1,0)</f>
        <v>1</v>
      </c>
      <c r="D1461" s="44">
        <f t="shared" si="67"/>
        <v>1460</v>
      </c>
      <c r="E1461" s="45" t="s">
        <v>1624</v>
      </c>
      <c r="F1461" s="46" t="s">
        <v>3372</v>
      </c>
    </row>
    <row r="1462" spans="1:6" ht="17">
      <c r="A1462" s="15">
        <f t="shared" ca="1" si="65"/>
        <v>1515</v>
      </c>
      <c r="B1462" s="16">
        <f t="shared" ca="1" si="66"/>
        <v>0.195068613010702</v>
      </c>
      <c r="C1462" s="17">
        <f>IF(AND(問題解答データベース!D1462&gt;=小テスト!$C$6,D1462&lt;=小テスト!$E$6),1,0)</f>
        <v>1</v>
      </c>
      <c r="D1462" s="44">
        <f t="shared" si="67"/>
        <v>1461</v>
      </c>
      <c r="E1462" s="45" t="s">
        <v>1625</v>
      </c>
      <c r="F1462" s="46" t="s">
        <v>3373</v>
      </c>
    </row>
    <row r="1463" spans="1:6" ht="17">
      <c r="A1463" s="15">
        <f t="shared" ca="1" si="65"/>
        <v>651</v>
      </c>
      <c r="B1463" s="16">
        <f t="shared" ca="1" si="66"/>
        <v>0.65763398757002989</v>
      </c>
      <c r="C1463" s="17">
        <f>IF(AND(問題解答データベース!D1463&gt;=小テスト!$C$6,D1463&lt;=小テスト!$E$6),1,0)</f>
        <v>1</v>
      </c>
      <c r="D1463" s="44">
        <f t="shared" si="67"/>
        <v>1462</v>
      </c>
      <c r="E1463" s="45" t="s">
        <v>1626</v>
      </c>
      <c r="F1463" s="46" t="s">
        <v>3374</v>
      </c>
    </row>
    <row r="1464" spans="1:6" ht="17">
      <c r="A1464" s="15">
        <f t="shared" ca="1" si="65"/>
        <v>381</v>
      </c>
      <c r="B1464" s="16">
        <f t="shared" ca="1" si="66"/>
        <v>0.79488911039005739</v>
      </c>
      <c r="C1464" s="17">
        <f>IF(AND(問題解答データベース!D1464&gt;=小テスト!$C$6,D1464&lt;=小テスト!$E$6),1,0)</f>
        <v>1</v>
      </c>
      <c r="D1464" s="44">
        <f t="shared" si="67"/>
        <v>1463</v>
      </c>
      <c r="E1464" s="45" t="s">
        <v>1627</v>
      </c>
      <c r="F1464" s="46" t="s">
        <v>3375</v>
      </c>
    </row>
    <row r="1465" spans="1:6" ht="17">
      <c r="A1465" s="15">
        <f t="shared" ca="1" si="65"/>
        <v>531</v>
      </c>
      <c r="B1465" s="16">
        <f t="shared" ca="1" si="66"/>
        <v>0.72489392609576075</v>
      </c>
      <c r="C1465" s="17">
        <f>IF(AND(問題解答データベース!D1465&gt;=小テスト!$C$6,D1465&lt;=小テスト!$E$6),1,0)</f>
        <v>1</v>
      </c>
      <c r="D1465" s="44">
        <f t="shared" si="67"/>
        <v>1464</v>
      </c>
      <c r="E1465" s="45" t="s">
        <v>1628</v>
      </c>
      <c r="F1465" s="46" t="s">
        <v>3376</v>
      </c>
    </row>
    <row r="1466" spans="1:6" ht="17">
      <c r="A1466" s="15">
        <f t="shared" ca="1" si="65"/>
        <v>350</v>
      </c>
      <c r="B1466" s="16">
        <f t="shared" ca="1" si="66"/>
        <v>0.81201638937907372</v>
      </c>
      <c r="C1466" s="17">
        <f>IF(AND(問題解答データベース!D1466&gt;=小テスト!$C$6,D1466&lt;=小テスト!$E$6),1,0)</f>
        <v>1</v>
      </c>
      <c r="D1466" s="44">
        <f t="shared" si="67"/>
        <v>1465</v>
      </c>
      <c r="E1466" s="45" t="s">
        <v>1629</v>
      </c>
      <c r="F1466" s="46" t="s">
        <v>3377</v>
      </c>
    </row>
    <row r="1467" spans="1:6" ht="17">
      <c r="A1467" s="15">
        <f t="shared" ca="1" si="65"/>
        <v>1266</v>
      </c>
      <c r="B1467" s="16">
        <f t="shared" ca="1" si="66"/>
        <v>0.34204177193546748</v>
      </c>
      <c r="C1467" s="17">
        <f>IF(AND(問題解答データベース!D1467&gt;=小テスト!$C$6,D1467&lt;=小テスト!$E$6),1,0)</f>
        <v>1</v>
      </c>
      <c r="D1467" s="44">
        <f t="shared" si="67"/>
        <v>1466</v>
      </c>
      <c r="E1467" s="45" t="s">
        <v>1630</v>
      </c>
      <c r="F1467" s="46" t="s">
        <v>3378</v>
      </c>
    </row>
    <row r="1468" spans="1:6" ht="17">
      <c r="A1468" s="15">
        <f t="shared" ca="1" si="65"/>
        <v>1084</v>
      </c>
      <c r="B1468" s="16">
        <f t="shared" ca="1" si="66"/>
        <v>0.43371442954407724</v>
      </c>
      <c r="C1468" s="17">
        <f>IF(AND(問題解答データベース!D1468&gt;=小テスト!$C$6,D1468&lt;=小テスト!$E$6),1,0)</f>
        <v>1</v>
      </c>
      <c r="D1468" s="44">
        <f t="shared" si="67"/>
        <v>1467</v>
      </c>
      <c r="E1468" s="45" t="s">
        <v>1631</v>
      </c>
      <c r="F1468" s="46" t="s">
        <v>3379</v>
      </c>
    </row>
    <row r="1469" spans="1:6" ht="17">
      <c r="A1469" s="15">
        <f t="shared" ca="1" si="65"/>
        <v>1562</v>
      </c>
      <c r="B1469" s="16">
        <f t="shared" ca="1" si="66"/>
        <v>0.17233725989884729</v>
      </c>
      <c r="C1469" s="17">
        <f>IF(AND(問題解答データベース!D1469&gt;=小テスト!$C$6,D1469&lt;=小テスト!$E$6),1,0)</f>
        <v>1</v>
      </c>
      <c r="D1469" s="44">
        <f t="shared" si="67"/>
        <v>1468</v>
      </c>
      <c r="E1469" s="45" t="s">
        <v>1632</v>
      </c>
      <c r="F1469" s="46" t="s">
        <v>3380</v>
      </c>
    </row>
    <row r="1470" spans="1:6" ht="17">
      <c r="A1470" s="15">
        <f t="shared" ca="1" si="65"/>
        <v>859</v>
      </c>
      <c r="B1470" s="16">
        <f t="shared" ca="1" si="66"/>
        <v>0.54192952865071276</v>
      </c>
      <c r="C1470" s="17">
        <f>IF(AND(問題解答データベース!D1470&gt;=小テスト!$C$6,D1470&lt;=小テスト!$E$6),1,0)</f>
        <v>1</v>
      </c>
      <c r="D1470" s="44">
        <f t="shared" si="67"/>
        <v>1469</v>
      </c>
      <c r="E1470" s="45" t="s">
        <v>1633</v>
      </c>
      <c r="F1470" s="46" t="s">
        <v>3381</v>
      </c>
    </row>
    <row r="1471" spans="1:6" ht="17">
      <c r="A1471" s="15">
        <f t="shared" ca="1" si="65"/>
        <v>105</v>
      </c>
      <c r="B1471" s="16">
        <f t="shared" ca="1" si="66"/>
        <v>0.95083544490910343</v>
      </c>
      <c r="C1471" s="17">
        <f>IF(AND(問題解答データベース!D1471&gt;=小テスト!$C$6,D1471&lt;=小テスト!$E$6),1,0)</f>
        <v>1</v>
      </c>
      <c r="D1471" s="44">
        <f t="shared" si="67"/>
        <v>1470</v>
      </c>
      <c r="E1471" s="45" t="s">
        <v>1634</v>
      </c>
      <c r="F1471" s="46" t="s">
        <v>3382</v>
      </c>
    </row>
    <row r="1472" spans="1:6" ht="17">
      <c r="A1472" s="15">
        <f t="shared" ca="1" si="65"/>
        <v>563</v>
      </c>
      <c r="B1472" s="16">
        <f t="shared" ca="1" si="66"/>
        <v>0.70638936909603378</v>
      </c>
      <c r="C1472" s="17">
        <f>IF(AND(問題解答データベース!D1472&gt;=小テスト!$C$6,D1472&lt;=小テスト!$E$6),1,0)</f>
        <v>1</v>
      </c>
      <c r="D1472" s="44">
        <f t="shared" si="67"/>
        <v>1471</v>
      </c>
      <c r="E1472" s="45" t="s">
        <v>1635</v>
      </c>
      <c r="F1472" s="46" t="s">
        <v>3383</v>
      </c>
    </row>
    <row r="1473" spans="1:6" ht="17">
      <c r="A1473" s="15">
        <f t="shared" ca="1" si="65"/>
        <v>1448</v>
      </c>
      <c r="B1473" s="16">
        <f t="shared" ca="1" si="66"/>
        <v>0.23714124416043325</v>
      </c>
      <c r="C1473" s="17">
        <f>IF(AND(問題解答データベース!D1473&gt;=小テスト!$C$6,D1473&lt;=小テスト!$E$6),1,0)</f>
        <v>1</v>
      </c>
      <c r="D1473" s="44">
        <f t="shared" si="67"/>
        <v>1472</v>
      </c>
      <c r="E1473" s="45" t="s">
        <v>1636</v>
      </c>
      <c r="F1473" s="46" t="s">
        <v>3384</v>
      </c>
    </row>
    <row r="1474" spans="1:6" ht="17">
      <c r="A1474" s="15">
        <f t="shared" ca="1" si="65"/>
        <v>752</v>
      </c>
      <c r="B1474" s="16">
        <f t="shared" ca="1" si="66"/>
        <v>0.60103322830936479</v>
      </c>
      <c r="C1474" s="17">
        <f>IF(AND(問題解答データベース!D1474&gt;=小テスト!$C$6,D1474&lt;=小テスト!$E$6),1,0)</f>
        <v>1</v>
      </c>
      <c r="D1474" s="44">
        <f t="shared" si="67"/>
        <v>1473</v>
      </c>
      <c r="E1474" s="45" t="s">
        <v>1637</v>
      </c>
      <c r="F1474" s="46" t="s">
        <v>3385</v>
      </c>
    </row>
    <row r="1475" spans="1:6" ht="17">
      <c r="A1475" s="15">
        <f t="shared" ref="A1475:A1538" ca="1" si="68">RANK(B1475,$B$2:$B$1901,0)</f>
        <v>892</v>
      </c>
      <c r="B1475" s="16">
        <f t="shared" ca="1" si="66"/>
        <v>0.52775289408499093</v>
      </c>
      <c r="C1475" s="17">
        <f>IF(AND(問題解答データベース!D1475&gt;=小テスト!$C$6,D1475&lt;=小テスト!$E$6),1,0)</f>
        <v>1</v>
      </c>
      <c r="D1475" s="44">
        <f t="shared" si="67"/>
        <v>1474</v>
      </c>
      <c r="E1475" s="45" t="s">
        <v>1638</v>
      </c>
      <c r="F1475" s="46" t="s">
        <v>3386</v>
      </c>
    </row>
    <row r="1476" spans="1:6" ht="17">
      <c r="A1476" s="15">
        <f t="shared" ca="1" si="68"/>
        <v>1029</v>
      </c>
      <c r="B1476" s="16">
        <f t="shared" ca="1" si="66"/>
        <v>0.46713109889154281</v>
      </c>
      <c r="C1476" s="17">
        <f>IF(AND(問題解答データベース!D1476&gt;=小テスト!$C$6,D1476&lt;=小テスト!$E$6),1,0)</f>
        <v>1</v>
      </c>
      <c r="D1476" s="44">
        <f t="shared" si="67"/>
        <v>1475</v>
      </c>
      <c r="E1476" s="45" t="s">
        <v>1639</v>
      </c>
      <c r="F1476" s="46" t="s">
        <v>3387</v>
      </c>
    </row>
    <row r="1477" spans="1:6" ht="17">
      <c r="A1477" s="15">
        <f t="shared" ca="1" si="68"/>
        <v>1451</v>
      </c>
      <c r="B1477" s="16">
        <f t="shared" ca="1" si="66"/>
        <v>0.23476642016720672</v>
      </c>
      <c r="C1477" s="17">
        <f>IF(AND(問題解答データベース!D1477&gt;=小テスト!$C$6,D1477&lt;=小テスト!$E$6),1,0)</f>
        <v>1</v>
      </c>
      <c r="D1477" s="44">
        <f t="shared" si="67"/>
        <v>1476</v>
      </c>
      <c r="E1477" s="45" t="s">
        <v>1640</v>
      </c>
      <c r="F1477" s="46" t="s">
        <v>3388</v>
      </c>
    </row>
    <row r="1478" spans="1:6" ht="17">
      <c r="A1478" s="15">
        <f t="shared" ca="1" si="68"/>
        <v>1724</v>
      </c>
      <c r="B1478" s="16">
        <f t="shared" ca="1" si="66"/>
        <v>8.7183418039160299E-2</v>
      </c>
      <c r="C1478" s="17">
        <f>IF(AND(問題解答データベース!D1478&gt;=小テスト!$C$6,D1478&lt;=小テスト!$E$6),1,0)</f>
        <v>1</v>
      </c>
      <c r="D1478" s="44">
        <f t="shared" si="67"/>
        <v>1477</v>
      </c>
      <c r="E1478" s="45" t="s">
        <v>1641</v>
      </c>
      <c r="F1478" s="46" t="s">
        <v>3389</v>
      </c>
    </row>
    <row r="1479" spans="1:6" ht="17">
      <c r="A1479" s="15">
        <f t="shared" ca="1" si="68"/>
        <v>553</v>
      </c>
      <c r="B1479" s="16">
        <f t="shared" ca="1" si="66"/>
        <v>0.71205868281526952</v>
      </c>
      <c r="C1479" s="17">
        <f>IF(AND(問題解答データベース!D1479&gt;=小テスト!$C$6,D1479&lt;=小テスト!$E$6),1,0)</f>
        <v>1</v>
      </c>
      <c r="D1479" s="44">
        <f t="shared" si="67"/>
        <v>1478</v>
      </c>
      <c r="E1479" s="45" t="s">
        <v>1642</v>
      </c>
      <c r="F1479" s="46" t="s">
        <v>3390</v>
      </c>
    </row>
    <row r="1480" spans="1:6" ht="17">
      <c r="A1480" s="15">
        <f t="shared" ca="1" si="68"/>
        <v>411</v>
      </c>
      <c r="B1480" s="16">
        <f t="shared" ca="1" si="66"/>
        <v>0.78217129708211686</v>
      </c>
      <c r="C1480" s="17">
        <f>IF(AND(問題解答データベース!D1480&gt;=小テスト!$C$6,D1480&lt;=小テスト!$E$6),1,0)</f>
        <v>1</v>
      </c>
      <c r="D1480" s="44">
        <f t="shared" si="67"/>
        <v>1479</v>
      </c>
      <c r="E1480" s="45" t="s">
        <v>1643</v>
      </c>
      <c r="F1480" s="46" t="s">
        <v>3391</v>
      </c>
    </row>
    <row r="1481" spans="1:6" ht="17">
      <c r="A1481" s="15">
        <f t="shared" ca="1" si="68"/>
        <v>117</v>
      </c>
      <c r="B1481" s="16">
        <f t="shared" ca="1" si="66"/>
        <v>0.9435701275143189</v>
      </c>
      <c r="C1481" s="17">
        <f>IF(AND(問題解答データベース!D1481&gt;=小テスト!$C$6,D1481&lt;=小テスト!$E$6),1,0)</f>
        <v>1</v>
      </c>
      <c r="D1481" s="44">
        <f t="shared" si="67"/>
        <v>1480</v>
      </c>
      <c r="E1481" s="45" t="s">
        <v>1644</v>
      </c>
      <c r="F1481" s="46" t="s">
        <v>3392</v>
      </c>
    </row>
    <row r="1482" spans="1:6" ht="17">
      <c r="A1482" s="15">
        <f t="shared" ca="1" si="68"/>
        <v>418</v>
      </c>
      <c r="B1482" s="16">
        <f t="shared" ref="B1482:B1545" ca="1" si="69">IF(C1482=1,RAND(),0)</f>
        <v>0.77890805559848542</v>
      </c>
      <c r="C1482" s="17">
        <f>IF(AND(問題解答データベース!D1482&gt;=小テスト!$C$6,D1482&lt;=小テスト!$E$6),1,0)</f>
        <v>1</v>
      </c>
      <c r="D1482" s="44">
        <f t="shared" si="67"/>
        <v>1481</v>
      </c>
      <c r="E1482" s="45" t="s">
        <v>1645</v>
      </c>
      <c r="F1482" s="46" t="s">
        <v>3393</v>
      </c>
    </row>
    <row r="1483" spans="1:6" ht="17">
      <c r="A1483" s="15">
        <f t="shared" ca="1" si="68"/>
        <v>415</v>
      </c>
      <c r="B1483" s="16">
        <f t="shared" ca="1" si="69"/>
        <v>0.7813263002243952</v>
      </c>
      <c r="C1483" s="17">
        <f>IF(AND(問題解答データベース!D1483&gt;=小テスト!$C$6,D1483&lt;=小テスト!$E$6),1,0)</f>
        <v>1</v>
      </c>
      <c r="D1483" s="44">
        <f t="shared" si="67"/>
        <v>1482</v>
      </c>
      <c r="E1483" s="45" t="s">
        <v>1646</v>
      </c>
      <c r="F1483" s="46" t="s">
        <v>3394</v>
      </c>
    </row>
    <row r="1484" spans="1:6" ht="17">
      <c r="A1484" s="15">
        <f t="shared" ca="1" si="68"/>
        <v>1379</v>
      </c>
      <c r="B1484" s="16">
        <f t="shared" ca="1" si="69"/>
        <v>0.27447004298346211</v>
      </c>
      <c r="C1484" s="17">
        <f>IF(AND(問題解答データベース!D1484&gt;=小テスト!$C$6,D1484&lt;=小テスト!$E$6),1,0)</f>
        <v>1</v>
      </c>
      <c r="D1484" s="44">
        <f t="shared" si="67"/>
        <v>1483</v>
      </c>
      <c r="E1484" s="45" t="s">
        <v>1647</v>
      </c>
      <c r="F1484" s="46" t="s">
        <v>3395</v>
      </c>
    </row>
    <row r="1485" spans="1:6" ht="17">
      <c r="A1485" s="15">
        <f t="shared" ca="1" si="68"/>
        <v>1831</v>
      </c>
      <c r="B1485" s="16">
        <f t="shared" ca="1" si="69"/>
        <v>3.4263565317034117E-2</v>
      </c>
      <c r="C1485" s="17">
        <f>IF(AND(問題解答データベース!D1485&gt;=小テスト!$C$6,D1485&lt;=小テスト!$E$6),1,0)</f>
        <v>1</v>
      </c>
      <c r="D1485" s="44">
        <f t="shared" si="67"/>
        <v>1484</v>
      </c>
      <c r="E1485" s="45" t="s">
        <v>1648</v>
      </c>
      <c r="F1485" s="46" t="s">
        <v>3396</v>
      </c>
    </row>
    <row r="1486" spans="1:6" ht="17">
      <c r="A1486" s="15">
        <f t="shared" ca="1" si="68"/>
        <v>1242</v>
      </c>
      <c r="B1486" s="16">
        <f t="shared" ca="1" si="69"/>
        <v>0.35520246911386866</v>
      </c>
      <c r="C1486" s="17">
        <f>IF(AND(問題解答データベース!D1486&gt;=小テスト!$C$6,D1486&lt;=小テスト!$E$6),1,0)</f>
        <v>1</v>
      </c>
      <c r="D1486" s="44">
        <f t="shared" si="67"/>
        <v>1485</v>
      </c>
      <c r="E1486" s="45" t="s">
        <v>1649</v>
      </c>
      <c r="F1486" s="46" t="s">
        <v>3397</v>
      </c>
    </row>
    <row r="1487" spans="1:6" ht="17">
      <c r="A1487" s="15">
        <f t="shared" ca="1" si="68"/>
        <v>143</v>
      </c>
      <c r="B1487" s="16">
        <f t="shared" ca="1" si="69"/>
        <v>0.93056750963427093</v>
      </c>
      <c r="C1487" s="17">
        <f>IF(AND(問題解答データベース!D1487&gt;=小テスト!$C$6,D1487&lt;=小テスト!$E$6),1,0)</f>
        <v>1</v>
      </c>
      <c r="D1487" s="44">
        <f t="shared" si="67"/>
        <v>1486</v>
      </c>
      <c r="E1487" s="45" t="s">
        <v>1650</v>
      </c>
      <c r="F1487" s="46" t="s">
        <v>3398</v>
      </c>
    </row>
    <row r="1488" spans="1:6" ht="17">
      <c r="A1488" s="15">
        <f t="shared" ca="1" si="68"/>
        <v>723</v>
      </c>
      <c r="B1488" s="16">
        <f t="shared" ca="1" si="69"/>
        <v>0.6168127328627232</v>
      </c>
      <c r="C1488" s="17">
        <f>IF(AND(問題解答データベース!D1488&gt;=小テスト!$C$6,D1488&lt;=小テスト!$E$6),1,0)</f>
        <v>1</v>
      </c>
      <c r="D1488" s="44">
        <f t="shared" si="67"/>
        <v>1487</v>
      </c>
      <c r="E1488" s="45" t="s">
        <v>1651</v>
      </c>
      <c r="F1488" s="46" t="s">
        <v>3399</v>
      </c>
    </row>
    <row r="1489" spans="1:6" ht="17">
      <c r="A1489" s="15">
        <f t="shared" ca="1" si="68"/>
        <v>1518</v>
      </c>
      <c r="B1489" s="16">
        <f t="shared" ca="1" si="69"/>
        <v>0.19389164294393602</v>
      </c>
      <c r="C1489" s="17">
        <f>IF(AND(問題解答データベース!D1489&gt;=小テスト!$C$6,D1489&lt;=小テスト!$E$6),1,0)</f>
        <v>1</v>
      </c>
      <c r="D1489" s="44">
        <f t="shared" si="67"/>
        <v>1488</v>
      </c>
      <c r="E1489" s="45" t="s">
        <v>1652</v>
      </c>
      <c r="F1489" s="46" t="s">
        <v>3400</v>
      </c>
    </row>
    <row r="1490" spans="1:6" ht="17">
      <c r="A1490" s="15">
        <f t="shared" ca="1" si="68"/>
        <v>181</v>
      </c>
      <c r="B1490" s="16">
        <f t="shared" ca="1" si="69"/>
        <v>0.9129582179641621</v>
      </c>
      <c r="C1490" s="17">
        <f>IF(AND(問題解答データベース!D1490&gt;=小テスト!$C$6,D1490&lt;=小テスト!$E$6),1,0)</f>
        <v>1</v>
      </c>
      <c r="D1490" s="44">
        <f t="shared" si="67"/>
        <v>1489</v>
      </c>
      <c r="E1490" s="45" t="s">
        <v>1653</v>
      </c>
      <c r="F1490" s="46" t="s">
        <v>3401</v>
      </c>
    </row>
    <row r="1491" spans="1:6" ht="17">
      <c r="A1491" s="15">
        <f t="shared" ca="1" si="68"/>
        <v>1633</v>
      </c>
      <c r="B1491" s="16">
        <f t="shared" ca="1" si="69"/>
        <v>0.139143833374899</v>
      </c>
      <c r="C1491" s="17">
        <f>IF(AND(問題解答データベース!D1491&gt;=小テスト!$C$6,D1491&lt;=小テスト!$E$6),1,0)</f>
        <v>1</v>
      </c>
      <c r="D1491" s="44">
        <f t="shared" si="67"/>
        <v>1490</v>
      </c>
      <c r="E1491" s="45" t="s">
        <v>1654</v>
      </c>
      <c r="F1491" s="46" t="s">
        <v>3402</v>
      </c>
    </row>
    <row r="1492" spans="1:6" ht="17">
      <c r="A1492" s="15">
        <f t="shared" ca="1" si="68"/>
        <v>778</v>
      </c>
      <c r="B1492" s="16">
        <f t="shared" ca="1" si="69"/>
        <v>0.58995321905498388</v>
      </c>
      <c r="C1492" s="17">
        <f>IF(AND(問題解答データベース!D1492&gt;=小テスト!$C$6,D1492&lt;=小テスト!$E$6),1,0)</f>
        <v>1</v>
      </c>
      <c r="D1492" s="44">
        <f t="shared" si="67"/>
        <v>1491</v>
      </c>
      <c r="E1492" s="45" t="s">
        <v>1655</v>
      </c>
      <c r="F1492" s="46" t="s">
        <v>3403</v>
      </c>
    </row>
    <row r="1493" spans="1:6" ht="17">
      <c r="A1493" s="15">
        <f t="shared" ca="1" si="68"/>
        <v>1133</v>
      </c>
      <c r="B1493" s="16">
        <f t="shared" ca="1" si="69"/>
        <v>0.40632664794113327</v>
      </c>
      <c r="C1493" s="17">
        <f>IF(AND(問題解答データベース!D1493&gt;=小テスト!$C$6,D1493&lt;=小テスト!$E$6),1,0)</f>
        <v>1</v>
      </c>
      <c r="D1493" s="44">
        <f t="shared" si="67"/>
        <v>1492</v>
      </c>
      <c r="E1493" s="45" t="s">
        <v>1656</v>
      </c>
      <c r="F1493" s="46" t="s">
        <v>3404</v>
      </c>
    </row>
    <row r="1494" spans="1:6" ht="17">
      <c r="A1494" s="15">
        <f t="shared" ca="1" si="68"/>
        <v>364</v>
      </c>
      <c r="B1494" s="16">
        <f t="shared" ca="1" si="69"/>
        <v>0.80643141867664536</v>
      </c>
      <c r="C1494" s="17">
        <f>IF(AND(問題解答データベース!D1494&gt;=小テスト!$C$6,D1494&lt;=小テスト!$E$6),1,0)</f>
        <v>1</v>
      </c>
      <c r="D1494" s="44">
        <f t="shared" si="67"/>
        <v>1493</v>
      </c>
      <c r="E1494" s="45" t="s">
        <v>1657</v>
      </c>
      <c r="F1494" s="46" t="s">
        <v>3405</v>
      </c>
    </row>
    <row r="1495" spans="1:6" ht="17">
      <c r="A1495" s="15">
        <f t="shared" ca="1" si="68"/>
        <v>112</v>
      </c>
      <c r="B1495" s="16">
        <f t="shared" ca="1" si="69"/>
        <v>0.946524529643476</v>
      </c>
      <c r="C1495" s="17">
        <f>IF(AND(問題解答データベース!D1495&gt;=小テスト!$C$6,D1495&lt;=小テスト!$E$6),1,0)</f>
        <v>1</v>
      </c>
      <c r="D1495" s="44">
        <f t="shared" si="67"/>
        <v>1494</v>
      </c>
      <c r="E1495" s="45" t="s">
        <v>1658</v>
      </c>
      <c r="F1495" s="46" t="s">
        <v>3406</v>
      </c>
    </row>
    <row r="1496" spans="1:6" ht="17">
      <c r="A1496" s="15">
        <f t="shared" ca="1" si="68"/>
        <v>904</v>
      </c>
      <c r="B1496" s="16">
        <f t="shared" ca="1" si="69"/>
        <v>0.5214478344944804</v>
      </c>
      <c r="C1496" s="17">
        <f>IF(AND(問題解答データベース!D1496&gt;=小テスト!$C$6,D1496&lt;=小テスト!$E$6),1,0)</f>
        <v>1</v>
      </c>
      <c r="D1496" s="44">
        <f t="shared" si="67"/>
        <v>1495</v>
      </c>
      <c r="E1496" s="45" t="s">
        <v>1659</v>
      </c>
      <c r="F1496" s="46" t="s">
        <v>3407</v>
      </c>
    </row>
    <row r="1497" spans="1:6" ht="17">
      <c r="A1497" s="15">
        <f t="shared" ca="1" si="68"/>
        <v>429</v>
      </c>
      <c r="B1497" s="16">
        <f t="shared" ca="1" si="69"/>
        <v>0.77186354458563322</v>
      </c>
      <c r="C1497" s="17">
        <f>IF(AND(問題解答データベース!D1497&gt;=小テスト!$C$6,D1497&lt;=小テスト!$E$6),1,0)</f>
        <v>1</v>
      </c>
      <c r="D1497" s="44">
        <f t="shared" si="67"/>
        <v>1496</v>
      </c>
      <c r="E1497" s="45" t="s">
        <v>1660</v>
      </c>
      <c r="F1497" s="46" t="s">
        <v>3408</v>
      </c>
    </row>
    <row r="1498" spans="1:6" ht="17">
      <c r="A1498" s="15">
        <f t="shared" ca="1" si="68"/>
        <v>633</v>
      </c>
      <c r="B1498" s="16">
        <f t="shared" ca="1" si="69"/>
        <v>0.66396276256302256</v>
      </c>
      <c r="C1498" s="17">
        <f>IF(AND(問題解答データベース!D1498&gt;=小テスト!$C$6,D1498&lt;=小テスト!$E$6),1,0)</f>
        <v>1</v>
      </c>
      <c r="D1498" s="44">
        <f t="shared" si="67"/>
        <v>1497</v>
      </c>
      <c r="E1498" s="45" t="s">
        <v>1661</v>
      </c>
      <c r="F1498" s="46" t="s">
        <v>3409</v>
      </c>
    </row>
    <row r="1499" spans="1:6" ht="17">
      <c r="A1499" s="15">
        <f t="shared" ca="1" si="68"/>
        <v>645</v>
      </c>
      <c r="B1499" s="16">
        <f t="shared" ca="1" si="69"/>
        <v>0.66017119537379454</v>
      </c>
      <c r="C1499" s="17">
        <f>IF(AND(問題解答データベース!D1499&gt;=小テスト!$C$6,D1499&lt;=小テスト!$E$6),1,0)</f>
        <v>1</v>
      </c>
      <c r="D1499" s="44">
        <f t="shared" si="67"/>
        <v>1498</v>
      </c>
      <c r="E1499" s="45" t="s">
        <v>1662</v>
      </c>
      <c r="F1499" s="46" t="s">
        <v>3410</v>
      </c>
    </row>
    <row r="1500" spans="1:6" ht="17">
      <c r="A1500" s="15">
        <f t="shared" ca="1" si="68"/>
        <v>478</v>
      </c>
      <c r="B1500" s="16">
        <f t="shared" ca="1" si="69"/>
        <v>0.75414684260964238</v>
      </c>
      <c r="C1500" s="17">
        <f>IF(AND(問題解答データベース!D1500&gt;=小テスト!$C$6,D1500&lt;=小テスト!$E$6),1,0)</f>
        <v>1</v>
      </c>
      <c r="D1500" s="44">
        <f t="shared" ref="D1500:D1563" si="70">D1499+1</f>
        <v>1499</v>
      </c>
      <c r="E1500" s="45" t="s">
        <v>1663</v>
      </c>
      <c r="F1500" s="46" t="s">
        <v>3411</v>
      </c>
    </row>
    <row r="1501" spans="1:6" ht="17">
      <c r="A1501" s="15">
        <f t="shared" ca="1" si="68"/>
        <v>458</v>
      </c>
      <c r="B1501" s="16">
        <f t="shared" ca="1" si="69"/>
        <v>0.76124234239682687</v>
      </c>
      <c r="C1501" s="17">
        <f>IF(AND(問題解答データベース!D1501&gt;=小テスト!$C$6,D1501&lt;=小テスト!$E$6),1,0)</f>
        <v>1</v>
      </c>
      <c r="D1501" s="44">
        <f t="shared" si="70"/>
        <v>1500</v>
      </c>
      <c r="E1501" s="45" t="s">
        <v>1664</v>
      </c>
      <c r="F1501" s="46" t="s">
        <v>3412</v>
      </c>
    </row>
    <row r="1502" spans="1:6" ht="17">
      <c r="A1502" s="15">
        <f t="shared" ca="1" si="68"/>
        <v>151</v>
      </c>
      <c r="B1502" s="16">
        <f t="shared" ca="1" si="69"/>
        <v>0.92389203121924524</v>
      </c>
      <c r="C1502" s="17">
        <f>IF(AND(問題解答データベース!D1502&gt;=小テスト!$C$6,D1502&lt;=小テスト!$E$6),1,0)</f>
        <v>1</v>
      </c>
      <c r="D1502" s="44">
        <f t="shared" si="70"/>
        <v>1501</v>
      </c>
      <c r="E1502" s="45" t="s">
        <v>1665</v>
      </c>
      <c r="F1502" s="46" t="s">
        <v>3413</v>
      </c>
    </row>
    <row r="1503" spans="1:6" ht="17">
      <c r="A1503" s="15">
        <f t="shared" ca="1" si="68"/>
        <v>1111</v>
      </c>
      <c r="B1503" s="16">
        <f t="shared" ca="1" si="69"/>
        <v>0.41757457964221067</v>
      </c>
      <c r="C1503" s="17">
        <f>IF(AND(問題解答データベース!D1503&gt;=小テスト!$C$6,D1503&lt;=小テスト!$E$6),1,0)</f>
        <v>1</v>
      </c>
      <c r="D1503" s="44">
        <f t="shared" si="70"/>
        <v>1502</v>
      </c>
      <c r="E1503" s="45" t="s">
        <v>1666</v>
      </c>
      <c r="F1503" s="46" t="s">
        <v>3414</v>
      </c>
    </row>
    <row r="1504" spans="1:6" ht="17">
      <c r="A1504" s="15">
        <f t="shared" ca="1" si="68"/>
        <v>735</v>
      </c>
      <c r="B1504" s="16">
        <f t="shared" ca="1" si="69"/>
        <v>0.6072121754153007</v>
      </c>
      <c r="C1504" s="17">
        <f>IF(AND(問題解答データベース!D1504&gt;=小テスト!$C$6,D1504&lt;=小テスト!$E$6),1,0)</f>
        <v>1</v>
      </c>
      <c r="D1504" s="44">
        <f t="shared" si="70"/>
        <v>1503</v>
      </c>
      <c r="E1504" s="45" t="s">
        <v>1667</v>
      </c>
      <c r="F1504" s="46" t="s">
        <v>3415</v>
      </c>
    </row>
    <row r="1505" spans="1:6" ht="17">
      <c r="A1505" s="15">
        <f t="shared" ca="1" si="68"/>
        <v>1001</v>
      </c>
      <c r="B1505" s="16">
        <f t="shared" ca="1" si="69"/>
        <v>0.47823107999743242</v>
      </c>
      <c r="C1505" s="17">
        <f>IF(AND(問題解答データベース!D1505&gt;=小テスト!$C$6,D1505&lt;=小テスト!$E$6),1,0)</f>
        <v>1</v>
      </c>
      <c r="D1505" s="44">
        <f t="shared" si="70"/>
        <v>1504</v>
      </c>
      <c r="E1505" s="45" t="s">
        <v>1668</v>
      </c>
      <c r="F1505" s="46" t="s">
        <v>3416</v>
      </c>
    </row>
    <row r="1506" spans="1:6" ht="17">
      <c r="A1506" s="15">
        <f t="shared" ca="1" si="68"/>
        <v>46</v>
      </c>
      <c r="B1506" s="16">
        <f t="shared" ca="1" si="69"/>
        <v>0.97509711269045551</v>
      </c>
      <c r="C1506" s="17">
        <f>IF(AND(問題解答データベース!D1506&gt;=小テスト!$C$6,D1506&lt;=小テスト!$E$6),1,0)</f>
        <v>1</v>
      </c>
      <c r="D1506" s="44">
        <f t="shared" si="70"/>
        <v>1505</v>
      </c>
      <c r="E1506" s="45" t="s">
        <v>1669</v>
      </c>
      <c r="F1506" s="46" t="s">
        <v>3417</v>
      </c>
    </row>
    <row r="1507" spans="1:6" ht="17">
      <c r="A1507" s="15">
        <f t="shared" ca="1" si="68"/>
        <v>521</v>
      </c>
      <c r="B1507" s="16">
        <f t="shared" ca="1" si="69"/>
        <v>0.73059544446461455</v>
      </c>
      <c r="C1507" s="17">
        <f>IF(AND(問題解答データベース!D1507&gt;=小テスト!$C$6,D1507&lt;=小テスト!$E$6),1,0)</f>
        <v>1</v>
      </c>
      <c r="D1507" s="44">
        <f t="shared" si="70"/>
        <v>1506</v>
      </c>
      <c r="E1507" s="45" t="s">
        <v>1670</v>
      </c>
      <c r="F1507" s="46" t="s">
        <v>3418</v>
      </c>
    </row>
    <row r="1508" spans="1:6" ht="17">
      <c r="A1508" s="15">
        <f t="shared" ca="1" si="68"/>
        <v>310</v>
      </c>
      <c r="B1508" s="16">
        <f t="shared" ca="1" si="69"/>
        <v>0.83972539580890748</v>
      </c>
      <c r="C1508" s="17">
        <f>IF(AND(問題解答データベース!D1508&gt;=小テスト!$C$6,D1508&lt;=小テスト!$E$6),1,0)</f>
        <v>1</v>
      </c>
      <c r="D1508" s="44">
        <f t="shared" si="70"/>
        <v>1507</v>
      </c>
      <c r="E1508" s="45" t="s">
        <v>1671</v>
      </c>
      <c r="F1508" s="46" t="s">
        <v>3419</v>
      </c>
    </row>
    <row r="1509" spans="1:6" ht="17">
      <c r="A1509" s="15">
        <f t="shared" ca="1" si="68"/>
        <v>274</v>
      </c>
      <c r="B1509" s="16">
        <f t="shared" ca="1" si="69"/>
        <v>0.85744406402971685</v>
      </c>
      <c r="C1509" s="17">
        <f>IF(AND(問題解答データベース!D1509&gt;=小テスト!$C$6,D1509&lt;=小テスト!$E$6),1,0)</f>
        <v>1</v>
      </c>
      <c r="D1509" s="44">
        <f t="shared" si="70"/>
        <v>1508</v>
      </c>
      <c r="E1509" s="45" t="s">
        <v>1672</v>
      </c>
      <c r="F1509" s="46" t="s">
        <v>3420</v>
      </c>
    </row>
    <row r="1510" spans="1:6" ht="17">
      <c r="A1510" s="15">
        <f t="shared" ca="1" si="68"/>
        <v>687</v>
      </c>
      <c r="B1510" s="16">
        <f t="shared" ca="1" si="69"/>
        <v>0.63485190672948955</v>
      </c>
      <c r="C1510" s="17">
        <f>IF(AND(問題解答データベース!D1510&gt;=小テスト!$C$6,D1510&lt;=小テスト!$E$6),1,0)</f>
        <v>1</v>
      </c>
      <c r="D1510" s="44">
        <f t="shared" si="70"/>
        <v>1509</v>
      </c>
      <c r="E1510" s="45" t="s">
        <v>1673</v>
      </c>
      <c r="F1510" s="46" t="s">
        <v>3421</v>
      </c>
    </row>
    <row r="1511" spans="1:6" ht="17">
      <c r="A1511" s="15">
        <f t="shared" ca="1" si="68"/>
        <v>1152</v>
      </c>
      <c r="B1511" s="16">
        <f t="shared" ca="1" si="69"/>
        <v>0.39546540355365145</v>
      </c>
      <c r="C1511" s="17">
        <f>IF(AND(問題解答データベース!D1511&gt;=小テスト!$C$6,D1511&lt;=小テスト!$E$6),1,0)</f>
        <v>1</v>
      </c>
      <c r="D1511" s="44">
        <f t="shared" si="70"/>
        <v>1510</v>
      </c>
      <c r="E1511" s="45" t="s">
        <v>1674</v>
      </c>
      <c r="F1511" s="46" t="s">
        <v>3422</v>
      </c>
    </row>
    <row r="1512" spans="1:6" ht="17">
      <c r="A1512" s="15">
        <f t="shared" ca="1" si="68"/>
        <v>1298</v>
      </c>
      <c r="B1512" s="16">
        <f t="shared" ca="1" si="69"/>
        <v>0.32264088145985492</v>
      </c>
      <c r="C1512" s="17">
        <f>IF(AND(問題解答データベース!D1512&gt;=小テスト!$C$6,D1512&lt;=小テスト!$E$6),1,0)</f>
        <v>1</v>
      </c>
      <c r="D1512" s="44">
        <f t="shared" si="70"/>
        <v>1511</v>
      </c>
      <c r="E1512" s="45" t="s">
        <v>1675</v>
      </c>
      <c r="F1512" s="46" t="s">
        <v>3423</v>
      </c>
    </row>
    <row r="1513" spans="1:6" ht="17">
      <c r="A1513" s="15">
        <f t="shared" ca="1" si="68"/>
        <v>602</v>
      </c>
      <c r="B1513" s="16">
        <f t="shared" ca="1" si="69"/>
        <v>0.68156809230210147</v>
      </c>
      <c r="C1513" s="17">
        <f>IF(AND(問題解答データベース!D1513&gt;=小テスト!$C$6,D1513&lt;=小テスト!$E$6),1,0)</f>
        <v>1</v>
      </c>
      <c r="D1513" s="44">
        <f t="shared" si="70"/>
        <v>1512</v>
      </c>
      <c r="E1513" s="45" t="s">
        <v>1676</v>
      </c>
      <c r="F1513" s="46" t="s">
        <v>3424</v>
      </c>
    </row>
    <row r="1514" spans="1:6" ht="17">
      <c r="A1514" s="15">
        <f t="shared" ca="1" si="68"/>
        <v>287</v>
      </c>
      <c r="B1514" s="16">
        <f t="shared" ca="1" si="69"/>
        <v>0.85203662197379126</v>
      </c>
      <c r="C1514" s="17">
        <f>IF(AND(問題解答データベース!D1514&gt;=小テスト!$C$6,D1514&lt;=小テスト!$E$6),1,0)</f>
        <v>1</v>
      </c>
      <c r="D1514" s="44">
        <f t="shared" si="70"/>
        <v>1513</v>
      </c>
      <c r="E1514" s="45" t="s">
        <v>1677</v>
      </c>
      <c r="F1514" s="46" t="s">
        <v>3425</v>
      </c>
    </row>
    <row r="1515" spans="1:6" ht="17">
      <c r="A1515" s="15">
        <f t="shared" ca="1" si="68"/>
        <v>1543</v>
      </c>
      <c r="B1515" s="16">
        <f t="shared" ca="1" si="69"/>
        <v>0.18278485881111872</v>
      </c>
      <c r="C1515" s="17">
        <f>IF(AND(問題解答データベース!D1515&gt;=小テスト!$C$6,D1515&lt;=小テスト!$E$6),1,0)</f>
        <v>1</v>
      </c>
      <c r="D1515" s="44">
        <f t="shared" si="70"/>
        <v>1514</v>
      </c>
      <c r="E1515" s="45" t="s">
        <v>1678</v>
      </c>
      <c r="F1515" s="46" t="s">
        <v>3426</v>
      </c>
    </row>
    <row r="1516" spans="1:6" ht="17">
      <c r="A1516" s="15">
        <f t="shared" ca="1" si="68"/>
        <v>677</v>
      </c>
      <c r="B1516" s="16">
        <f t="shared" ca="1" si="69"/>
        <v>0.64558637412142439</v>
      </c>
      <c r="C1516" s="17">
        <f>IF(AND(問題解答データベース!D1516&gt;=小テスト!$C$6,D1516&lt;=小テスト!$E$6),1,0)</f>
        <v>1</v>
      </c>
      <c r="D1516" s="44">
        <f t="shared" si="70"/>
        <v>1515</v>
      </c>
      <c r="E1516" s="45" t="s">
        <v>1679</v>
      </c>
      <c r="F1516" s="46" t="s">
        <v>3427</v>
      </c>
    </row>
    <row r="1517" spans="1:6" ht="17">
      <c r="A1517" s="15">
        <f t="shared" ca="1" si="68"/>
        <v>709</v>
      </c>
      <c r="B1517" s="16">
        <f t="shared" ca="1" si="69"/>
        <v>0.62273025378400904</v>
      </c>
      <c r="C1517" s="17">
        <f>IF(AND(問題解答データベース!D1517&gt;=小テスト!$C$6,D1517&lt;=小テスト!$E$6),1,0)</f>
        <v>1</v>
      </c>
      <c r="D1517" s="44">
        <f t="shared" si="70"/>
        <v>1516</v>
      </c>
      <c r="E1517" s="45" t="s">
        <v>1680</v>
      </c>
      <c r="F1517" s="46" t="s">
        <v>3428</v>
      </c>
    </row>
    <row r="1518" spans="1:6" ht="17">
      <c r="A1518" s="15">
        <f t="shared" ca="1" si="68"/>
        <v>1834</v>
      </c>
      <c r="B1518" s="16">
        <f t="shared" ca="1" si="69"/>
        <v>3.2581705601481437E-2</v>
      </c>
      <c r="C1518" s="17">
        <f>IF(AND(問題解答データベース!D1518&gt;=小テスト!$C$6,D1518&lt;=小テスト!$E$6),1,0)</f>
        <v>1</v>
      </c>
      <c r="D1518" s="44">
        <f t="shared" si="70"/>
        <v>1517</v>
      </c>
      <c r="E1518" s="45" t="s">
        <v>1681</v>
      </c>
      <c r="F1518" s="46" t="s">
        <v>3429</v>
      </c>
    </row>
    <row r="1519" spans="1:6" ht="17">
      <c r="A1519" s="15">
        <f t="shared" ca="1" si="68"/>
        <v>69</v>
      </c>
      <c r="B1519" s="16">
        <f t="shared" ca="1" si="69"/>
        <v>0.9660486168939233</v>
      </c>
      <c r="C1519" s="17">
        <f>IF(AND(問題解答データベース!D1519&gt;=小テスト!$C$6,D1519&lt;=小テスト!$E$6),1,0)</f>
        <v>1</v>
      </c>
      <c r="D1519" s="44">
        <f t="shared" si="70"/>
        <v>1518</v>
      </c>
      <c r="E1519" s="45" t="s">
        <v>1682</v>
      </c>
      <c r="F1519" s="46" t="s">
        <v>3430</v>
      </c>
    </row>
    <row r="1520" spans="1:6" ht="17">
      <c r="A1520" s="15">
        <f t="shared" ca="1" si="68"/>
        <v>1271</v>
      </c>
      <c r="B1520" s="16">
        <f t="shared" ca="1" si="69"/>
        <v>0.33939745604073812</v>
      </c>
      <c r="C1520" s="17">
        <f>IF(AND(問題解答データベース!D1520&gt;=小テスト!$C$6,D1520&lt;=小テスト!$E$6),1,0)</f>
        <v>1</v>
      </c>
      <c r="D1520" s="44">
        <f t="shared" si="70"/>
        <v>1519</v>
      </c>
      <c r="E1520" s="45" t="s">
        <v>1683</v>
      </c>
      <c r="F1520" s="46" t="s">
        <v>3431</v>
      </c>
    </row>
    <row r="1521" spans="1:6" ht="17">
      <c r="A1521" s="15">
        <f t="shared" ca="1" si="68"/>
        <v>33</v>
      </c>
      <c r="B1521" s="16">
        <f t="shared" ca="1" si="69"/>
        <v>0.9810881178329236</v>
      </c>
      <c r="C1521" s="17">
        <f>IF(AND(問題解答データベース!D1521&gt;=小テスト!$C$6,D1521&lt;=小テスト!$E$6),1,0)</f>
        <v>1</v>
      </c>
      <c r="D1521" s="44">
        <f t="shared" si="70"/>
        <v>1520</v>
      </c>
      <c r="E1521" s="45" t="s">
        <v>1684</v>
      </c>
      <c r="F1521" s="46" t="s">
        <v>3432</v>
      </c>
    </row>
    <row r="1522" spans="1:6" ht="17">
      <c r="A1522" s="15">
        <f t="shared" ca="1" si="68"/>
        <v>755</v>
      </c>
      <c r="B1522" s="16">
        <f t="shared" ca="1" si="69"/>
        <v>0.60010257878019824</v>
      </c>
      <c r="C1522" s="17">
        <f>IF(AND(問題解答データベース!D1522&gt;=小テスト!$C$6,D1522&lt;=小テスト!$E$6),1,0)</f>
        <v>1</v>
      </c>
      <c r="D1522" s="44">
        <f t="shared" si="70"/>
        <v>1521</v>
      </c>
      <c r="E1522" s="45" t="s">
        <v>1685</v>
      </c>
      <c r="F1522" s="46" t="s">
        <v>3433</v>
      </c>
    </row>
    <row r="1523" spans="1:6" ht="17">
      <c r="A1523" s="15">
        <f t="shared" ca="1" si="68"/>
        <v>520</v>
      </c>
      <c r="B1523" s="16">
        <f t="shared" ca="1" si="69"/>
        <v>0.7308249155367228</v>
      </c>
      <c r="C1523" s="17">
        <f>IF(AND(問題解答データベース!D1523&gt;=小テスト!$C$6,D1523&lt;=小テスト!$E$6),1,0)</f>
        <v>1</v>
      </c>
      <c r="D1523" s="44">
        <f t="shared" si="70"/>
        <v>1522</v>
      </c>
      <c r="E1523" s="45" t="s">
        <v>1686</v>
      </c>
      <c r="F1523" s="46" t="s">
        <v>3434</v>
      </c>
    </row>
    <row r="1524" spans="1:6" ht="17">
      <c r="A1524" s="15">
        <f t="shared" ca="1" si="68"/>
        <v>1620</v>
      </c>
      <c r="B1524" s="16">
        <f t="shared" ca="1" si="69"/>
        <v>0.14612746990118497</v>
      </c>
      <c r="C1524" s="17">
        <f>IF(AND(問題解答データベース!D1524&gt;=小テスト!$C$6,D1524&lt;=小テスト!$E$6),1,0)</f>
        <v>1</v>
      </c>
      <c r="D1524" s="44">
        <f t="shared" si="70"/>
        <v>1523</v>
      </c>
      <c r="E1524" s="45" t="s">
        <v>1687</v>
      </c>
      <c r="F1524" s="46" t="s">
        <v>3435</v>
      </c>
    </row>
    <row r="1525" spans="1:6" ht="17">
      <c r="A1525" s="15">
        <f t="shared" ca="1" si="68"/>
        <v>1618</v>
      </c>
      <c r="B1525" s="16">
        <f t="shared" ca="1" si="69"/>
        <v>0.14741078663161278</v>
      </c>
      <c r="C1525" s="17">
        <f>IF(AND(問題解答データベース!D1525&gt;=小テスト!$C$6,D1525&lt;=小テスト!$E$6),1,0)</f>
        <v>1</v>
      </c>
      <c r="D1525" s="44">
        <f t="shared" si="70"/>
        <v>1524</v>
      </c>
      <c r="E1525" s="45" t="s">
        <v>1688</v>
      </c>
      <c r="F1525" s="46" t="s">
        <v>3436</v>
      </c>
    </row>
    <row r="1526" spans="1:6" ht="17">
      <c r="A1526" s="15">
        <f t="shared" ca="1" si="68"/>
        <v>337</v>
      </c>
      <c r="B1526" s="16">
        <f t="shared" ca="1" si="69"/>
        <v>0.81849314844200605</v>
      </c>
      <c r="C1526" s="17">
        <f>IF(AND(問題解答データベース!D1526&gt;=小テスト!$C$6,D1526&lt;=小テスト!$E$6),1,0)</f>
        <v>1</v>
      </c>
      <c r="D1526" s="44">
        <f t="shared" si="70"/>
        <v>1525</v>
      </c>
      <c r="E1526" s="45" t="s">
        <v>1689</v>
      </c>
      <c r="F1526" s="46" t="s">
        <v>3437</v>
      </c>
    </row>
    <row r="1527" spans="1:6" ht="17">
      <c r="A1527" s="15">
        <f t="shared" ca="1" si="68"/>
        <v>656</v>
      </c>
      <c r="B1527" s="16">
        <f t="shared" ca="1" si="69"/>
        <v>0.65574471723852956</v>
      </c>
      <c r="C1527" s="17">
        <f>IF(AND(問題解答データベース!D1527&gt;=小テスト!$C$6,D1527&lt;=小テスト!$E$6),1,0)</f>
        <v>1</v>
      </c>
      <c r="D1527" s="44">
        <f t="shared" si="70"/>
        <v>1526</v>
      </c>
      <c r="E1527" s="45" t="s">
        <v>1690</v>
      </c>
      <c r="F1527" s="46" t="s">
        <v>3438</v>
      </c>
    </row>
    <row r="1528" spans="1:6" ht="17">
      <c r="A1528" s="15">
        <f t="shared" ca="1" si="68"/>
        <v>1014</v>
      </c>
      <c r="B1528" s="16">
        <f t="shared" ca="1" si="69"/>
        <v>0.4725758441408332</v>
      </c>
      <c r="C1528" s="17">
        <f>IF(AND(問題解答データベース!D1528&gt;=小テスト!$C$6,D1528&lt;=小テスト!$E$6),1,0)</f>
        <v>1</v>
      </c>
      <c r="D1528" s="44">
        <f t="shared" si="70"/>
        <v>1527</v>
      </c>
      <c r="E1528" s="45" t="s">
        <v>1691</v>
      </c>
      <c r="F1528" s="46" t="s">
        <v>3439</v>
      </c>
    </row>
    <row r="1529" spans="1:6" ht="17">
      <c r="A1529" s="15">
        <f t="shared" ca="1" si="68"/>
        <v>1030</v>
      </c>
      <c r="B1529" s="16">
        <f t="shared" ca="1" si="69"/>
        <v>0.46690882253013</v>
      </c>
      <c r="C1529" s="17">
        <f>IF(AND(問題解答データベース!D1529&gt;=小テスト!$C$6,D1529&lt;=小テスト!$E$6),1,0)</f>
        <v>1</v>
      </c>
      <c r="D1529" s="44">
        <f t="shared" si="70"/>
        <v>1528</v>
      </c>
      <c r="E1529" s="45" t="s">
        <v>1692</v>
      </c>
      <c r="F1529" s="46" t="s">
        <v>3440</v>
      </c>
    </row>
    <row r="1530" spans="1:6" ht="17">
      <c r="A1530" s="15">
        <f t="shared" ca="1" si="68"/>
        <v>1764</v>
      </c>
      <c r="B1530" s="16">
        <f t="shared" ca="1" si="69"/>
        <v>6.6058085814523881E-2</v>
      </c>
      <c r="C1530" s="17">
        <f>IF(AND(問題解答データベース!D1530&gt;=小テスト!$C$6,D1530&lt;=小テスト!$E$6),1,0)</f>
        <v>1</v>
      </c>
      <c r="D1530" s="44">
        <f t="shared" si="70"/>
        <v>1529</v>
      </c>
      <c r="E1530" s="45" t="s">
        <v>1693</v>
      </c>
      <c r="F1530" s="46" t="s">
        <v>3441</v>
      </c>
    </row>
    <row r="1531" spans="1:6" ht="17">
      <c r="A1531" s="15">
        <f t="shared" ca="1" si="68"/>
        <v>189</v>
      </c>
      <c r="B1531" s="16">
        <f t="shared" ca="1" si="69"/>
        <v>0.90826781730760597</v>
      </c>
      <c r="C1531" s="17">
        <f>IF(AND(問題解答データベース!D1531&gt;=小テスト!$C$6,D1531&lt;=小テスト!$E$6),1,0)</f>
        <v>1</v>
      </c>
      <c r="D1531" s="44">
        <f t="shared" si="70"/>
        <v>1530</v>
      </c>
      <c r="E1531" s="45" t="s">
        <v>1694</v>
      </c>
      <c r="F1531" s="46" t="s">
        <v>3442</v>
      </c>
    </row>
    <row r="1532" spans="1:6" ht="17">
      <c r="A1532" s="15">
        <f t="shared" ca="1" si="68"/>
        <v>60</v>
      </c>
      <c r="B1532" s="16">
        <f t="shared" ca="1" si="69"/>
        <v>0.96816760449099726</v>
      </c>
      <c r="C1532" s="17">
        <f>IF(AND(問題解答データベース!D1532&gt;=小テスト!$C$6,D1532&lt;=小テスト!$E$6),1,0)</f>
        <v>1</v>
      </c>
      <c r="D1532" s="44">
        <f t="shared" si="70"/>
        <v>1531</v>
      </c>
      <c r="E1532" s="45" t="s">
        <v>1695</v>
      </c>
      <c r="F1532" s="46" t="s">
        <v>3443</v>
      </c>
    </row>
    <row r="1533" spans="1:6" ht="17">
      <c r="A1533" s="15">
        <f t="shared" ca="1" si="68"/>
        <v>1770</v>
      </c>
      <c r="B1533" s="16">
        <f t="shared" ca="1" si="69"/>
        <v>6.4189429198961423E-2</v>
      </c>
      <c r="C1533" s="17">
        <f>IF(AND(問題解答データベース!D1533&gt;=小テスト!$C$6,D1533&lt;=小テスト!$E$6),1,0)</f>
        <v>1</v>
      </c>
      <c r="D1533" s="44">
        <f t="shared" si="70"/>
        <v>1532</v>
      </c>
      <c r="E1533" s="45" t="s">
        <v>1696</v>
      </c>
      <c r="F1533" s="46" t="s">
        <v>3444</v>
      </c>
    </row>
    <row r="1534" spans="1:6" ht="17">
      <c r="A1534" s="15">
        <f t="shared" ca="1" si="68"/>
        <v>985</v>
      </c>
      <c r="B1534" s="16">
        <f t="shared" ca="1" si="69"/>
        <v>0.48461090758670577</v>
      </c>
      <c r="C1534" s="17">
        <f>IF(AND(問題解答データベース!D1534&gt;=小テスト!$C$6,D1534&lt;=小テスト!$E$6),1,0)</f>
        <v>1</v>
      </c>
      <c r="D1534" s="44">
        <f t="shared" si="70"/>
        <v>1533</v>
      </c>
      <c r="E1534" s="45" t="s">
        <v>1697</v>
      </c>
      <c r="F1534" s="46" t="s">
        <v>3445</v>
      </c>
    </row>
    <row r="1535" spans="1:6" ht="17">
      <c r="A1535" s="15">
        <f t="shared" ca="1" si="68"/>
        <v>1746</v>
      </c>
      <c r="B1535" s="16">
        <f t="shared" ca="1" si="69"/>
        <v>7.7398779807985596E-2</v>
      </c>
      <c r="C1535" s="17">
        <f>IF(AND(問題解答データベース!D1535&gt;=小テスト!$C$6,D1535&lt;=小テスト!$E$6),1,0)</f>
        <v>1</v>
      </c>
      <c r="D1535" s="44">
        <f t="shared" si="70"/>
        <v>1534</v>
      </c>
      <c r="E1535" s="45" t="s">
        <v>1698</v>
      </c>
      <c r="F1535" s="46" t="s">
        <v>3446</v>
      </c>
    </row>
    <row r="1536" spans="1:6" ht="17">
      <c r="A1536" s="15">
        <f t="shared" ca="1" si="68"/>
        <v>642</v>
      </c>
      <c r="B1536" s="16">
        <f t="shared" ca="1" si="69"/>
        <v>0.66112012881900506</v>
      </c>
      <c r="C1536" s="17">
        <f>IF(AND(問題解答データベース!D1536&gt;=小テスト!$C$6,D1536&lt;=小テスト!$E$6),1,0)</f>
        <v>1</v>
      </c>
      <c r="D1536" s="44">
        <f t="shared" si="70"/>
        <v>1535</v>
      </c>
      <c r="E1536" s="45" t="s">
        <v>1699</v>
      </c>
      <c r="F1536" s="46" t="s">
        <v>3447</v>
      </c>
    </row>
    <row r="1537" spans="1:6" ht="17">
      <c r="A1537" s="15">
        <f t="shared" ca="1" si="68"/>
        <v>1208</v>
      </c>
      <c r="B1537" s="16">
        <f t="shared" ca="1" si="69"/>
        <v>0.36500393097652628</v>
      </c>
      <c r="C1537" s="17">
        <f>IF(AND(問題解答データベース!D1537&gt;=小テスト!$C$6,D1537&lt;=小テスト!$E$6),1,0)</f>
        <v>1</v>
      </c>
      <c r="D1537" s="44">
        <f t="shared" si="70"/>
        <v>1536</v>
      </c>
      <c r="E1537" s="45" t="s">
        <v>1700</v>
      </c>
      <c r="F1537" s="46" t="s">
        <v>3448</v>
      </c>
    </row>
    <row r="1538" spans="1:6" ht="17">
      <c r="A1538" s="15">
        <f t="shared" ca="1" si="68"/>
        <v>594</v>
      </c>
      <c r="B1538" s="16">
        <f t="shared" ca="1" si="69"/>
        <v>0.68609064028766387</v>
      </c>
      <c r="C1538" s="17">
        <f>IF(AND(問題解答データベース!D1538&gt;=小テスト!$C$6,D1538&lt;=小テスト!$E$6),1,0)</f>
        <v>1</v>
      </c>
      <c r="D1538" s="44">
        <f t="shared" si="70"/>
        <v>1537</v>
      </c>
      <c r="E1538" s="45" t="s">
        <v>1701</v>
      </c>
      <c r="F1538" s="46" t="s">
        <v>3449</v>
      </c>
    </row>
    <row r="1539" spans="1:6" ht="17">
      <c r="A1539" s="15">
        <f t="shared" ref="A1539:A1602" ca="1" si="71">RANK(B1539,$B$2:$B$1901,0)</f>
        <v>613</v>
      </c>
      <c r="B1539" s="16">
        <f t="shared" ca="1" si="69"/>
        <v>0.67625474602457492</v>
      </c>
      <c r="C1539" s="17">
        <f>IF(AND(問題解答データベース!D1539&gt;=小テスト!$C$6,D1539&lt;=小テスト!$E$6),1,0)</f>
        <v>1</v>
      </c>
      <c r="D1539" s="44">
        <f t="shared" si="70"/>
        <v>1538</v>
      </c>
      <c r="E1539" s="45" t="s">
        <v>1702</v>
      </c>
      <c r="F1539" s="46" t="s">
        <v>3450</v>
      </c>
    </row>
    <row r="1540" spans="1:6" ht="17">
      <c r="A1540" s="15">
        <f t="shared" ca="1" si="71"/>
        <v>1013</v>
      </c>
      <c r="B1540" s="16">
        <f t="shared" ca="1" si="69"/>
        <v>0.47269954641401202</v>
      </c>
      <c r="C1540" s="17">
        <f>IF(AND(問題解答データベース!D1540&gt;=小テスト!$C$6,D1540&lt;=小テスト!$E$6),1,0)</f>
        <v>1</v>
      </c>
      <c r="D1540" s="44">
        <f t="shared" si="70"/>
        <v>1539</v>
      </c>
      <c r="E1540" s="45" t="s">
        <v>1703</v>
      </c>
      <c r="F1540" s="46" t="s">
        <v>3451</v>
      </c>
    </row>
    <row r="1541" spans="1:6" ht="17">
      <c r="A1541" s="15">
        <f t="shared" ca="1" si="71"/>
        <v>404</v>
      </c>
      <c r="B1541" s="16">
        <f t="shared" ca="1" si="69"/>
        <v>0.78556898015270149</v>
      </c>
      <c r="C1541" s="17">
        <f>IF(AND(問題解答データベース!D1541&gt;=小テスト!$C$6,D1541&lt;=小テスト!$E$6),1,0)</f>
        <v>1</v>
      </c>
      <c r="D1541" s="44">
        <f t="shared" si="70"/>
        <v>1540</v>
      </c>
      <c r="E1541" s="45" t="s">
        <v>1704</v>
      </c>
      <c r="F1541" s="46" t="s">
        <v>3452</v>
      </c>
    </row>
    <row r="1542" spans="1:6" ht="17">
      <c r="A1542" s="15">
        <f t="shared" ca="1" si="71"/>
        <v>703</v>
      </c>
      <c r="B1542" s="16">
        <f t="shared" ca="1" si="69"/>
        <v>0.62577672882079272</v>
      </c>
      <c r="C1542" s="17">
        <f>IF(AND(問題解答データベース!D1542&gt;=小テスト!$C$6,D1542&lt;=小テスト!$E$6),1,0)</f>
        <v>1</v>
      </c>
      <c r="D1542" s="44">
        <f t="shared" si="70"/>
        <v>1541</v>
      </c>
      <c r="E1542" s="45" t="s">
        <v>1705</v>
      </c>
      <c r="F1542" s="46" t="s">
        <v>3453</v>
      </c>
    </row>
    <row r="1543" spans="1:6" ht="17">
      <c r="A1543" s="15">
        <f t="shared" ca="1" si="71"/>
        <v>101</v>
      </c>
      <c r="B1543" s="16">
        <f t="shared" ca="1" si="69"/>
        <v>0.95246685887943383</v>
      </c>
      <c r="C1543" s="17">
        <f>IF(AND(問題解答データベース!D1543&gt;=小テスト!$C$6,D1543&lt;=小テスト!$E$6),1,0)</f>
        <v>1</v>
      </c>
      <c r="D1543" s="44">
        <f t="shared" si="70"/>
        <v>1542</v>
      </c>
      <c r="E1543" s="45" t="s">
        <v>1706</v>
      </c>
      <c r="F1543" s="46" t="s">
        <v>3454</v>
      </c>
    </row>
    <row r="1544" spans="1:6" ht="17">
      <c r="A1544" s="15">
        <f t="shared" ca="1" si="71"/>
        <v>908</v>
      </c>
      <c r="B1544" s="16">
        <f t="shared" ca="1" si="69"/>
        <v>0.52049206038235085</v>
      </c>
      <c r="C1544" s="17">
        <f>IF(AND(問題解答データベース!D1544&gt;=小テスト!$C$6,D1544&lt;=小テスト!$E$6),1,0)</f>
        <v>1</v>
      </c>
      <c r="D1544" s="44">
        <f t="shared" si="70"/>
        <v>1543</v>
      </c>
      <c r="E1544" s="45" t="s">
        <v>1707</v>
      </c>
      <c r="F1544" s="46" t="s">
        <v>3455</v>
      </c>
    </row>
    <row r="1545" spans="1:6" ht="17">
      <c r="A1545" s="15">
        <f t="shared" ca="1" si="71"/>
        <v>1247</v>
      </c>
      <c r="B1545" s="16">
        <f t="shared" ca="1" si="69"/>
        <v>0.35201733137889313</v>
      </c>
      <c r="C1545" s="17">
        <f>IF(AND(問題解答データベース!D1545&gt;=小テスト!$C$6,D1545&lt;=小テスト!$E$6),1,0)</f>
        <v>1</v>
      </c>
      <c r="D1545" s="44">
        <f t="shared" si="70"/>
        <v>1544</v>
      </c>
      <c r="E1545" s="45" t="s">
        <v>1708</v>
      </c>
      <c r="F1545" s="46" t="s">
        <v>3456</v>
      </c>
    </row>
    <row r="1546" spans="1:6" ht="17">
      <c r="A1546" s="15">
        <f t="shared" ca="1" si="71"/>
        <v>756</v>
      </c>
      <c r="B1546" s="16">
        <f t="shared" ref="B1546:B1609" ca="1" si="72">IF(C1546=1,RAND(),0)</f>
        <v>0.59928637682589048</v>
      </c>
      <c r="C1546" s="17">
        <f>IF(AND(問題解答データベース!D1546&gt;=小テスト!$C$6,D1546&lt;=小テスト!$E$6),1,0)</f>
        <v>1</v>
      </c>
      <c r="D1546" s="44">
        <f t="shared" si="70"/>
        <v>1545</v>
      </c>
      <c r="E1546" s="45" t="s">
        <v>1709</v>
      </c>
      <c r="F1546" s="46" t="s">
        <v>3457</v>
      </c>
    </row>
    <row r="1547" spans="1:6" ht="17">
      <c r="A1547" s="15">
        <f t="shared" ca="1" si="71"/>
        <v>1312</v>
      </c>
      <c r="B1547" s="16">
        <f t="shared" ca="1" si="72"/>
        <v>0.31284076898306967</v>
      </c>
      <c r="C1547" s="17">
        <f>IF(AND(問題解答データベース!D1547&gt;=小テスト!$C$6,D1547&lt;=小テスト!$E$6),1,0)</f>
        <v>1</v>
      </c>
      <c r="D1547" s="44">
        <f t="shared" si="70"/>
        <v>1546</v>
      </c>
      <c r="E1547" s="45" t="s">
        <v>1710</v>
      </c>
      <c r="F1547" s="46" t="s">
        <v>3458</v>
      </c>
    </row>
    <row r="1548" spans="1:6" ht="17">
      <c r="A1548" s="15">
        <f t="shared" ca="1" si="71"/>
        <v>1377</v>
      </c>
      <c r="B1548" s="16">
        <f t="shared" ca="1" si="72"/>
        <v>0.27573050794420362</v>
      </c>
      <c r="C1548" s="17">
        <f>IF(AND(問題解答データベース!D1548&gt;=小テスト!$C$6,D1548&lt;=小テスト!$E$6),1,0)</f>
        <v>1</v>
      </c>
      <c r="D1548" s="44">
        <f t="shared" si="70"/>
        <v>1547</v>
      </c>
      <c r="E1548" s="45" t="s">
        <v>1711</v>
      </c>
      <c r="F1548" s="46" t="s">
        <v>3459</v>
      </c>
    </row>
    <row r="1549" spans="1:6" ht="17">
      <c r="A1549" s="15">
        <f t="shared" ca="1" si="71"/>
        <v>304</v>
      </c>
      <c r="B1549" s="16">
        <f t="shared" ca="1" si="72"/>
        <v>0.84477842190660746</v>
      </c>
      <c r="C1549" s="17">
        <f>IF(AND(問題解答データベース!D1549&gt;=小テスト!$C$6,D1549&lt;=小テスト!$E$6),1,0)</f>
        <v>1</v>
      </c>
      <c r="D1549" s="44">
        <f t="shared" si="70"/>
        <v>1548</v>
      </c>
      <c r="E1549" s="45" t="s">
        <v>1712</v>
      </c>
      <c r="F1549" s="46" t="s">
        <v>3460</v>
      </c>
    </row>
    <row r="1550" spans="1:6" ht="17">
      <c r="A1550" s="15">
        <f t="shared" ca="1" si="71"/>
        <v>1585</v>
      </c>
      <c r="B1550" s="16">
        <f t="shared" ca="1" si="72"/>
        <v>0.16353525660520485</v>
      </c>
      <c r="C1550" s="17">
        <f>IF(AND(問題解答データベース!D1550&gt;=小テスト!$C$6,D1550&lt;=小テスト!$E$6),1,0)</f>
        <v>1</v>
      </c>
      <c r="D1550" s="44">
        <f t="shared" si="70"/>
        <v>1549</v>
      </c>
      <c r="E1550" s="45" t="s">
        <v>1713</v>
      </c>
      <c r="F1550" s="46" t="s">
        <v>3461</v>
      </c>
    </row>
    <row r="1551" spans="1:6" ht="17">
      <c r="A1551" s="15">
        <f t="shared" ca="1" si="71"/>
        <v>1434</v>
      </c>
      <c r="B1551" s="16">
        <f t="shared" ca="1" si="72"/>
        <v>0.24595253028234842</v>
      </c>
      <c r="C1551" s="17">
        <f>IF(AND(問題解答データベース!D1551&gt;=小テスト!$C$6,D1551&lt;=小テスト!$E$6),1,0)</f>
        <v>1</v>
      </c>
      <c r="D1551" s="44">
        <f t="shared" si="70"/>
        <v>1550</v>
      </c>
      <c r="E1551" s="45" t="s">
        <v>1714</v>
      </c>
      <c r="F1551" s="46" t="s">
        <v>3462</v>
      </c>
    </row>
    <row r="1552" spans="1:6" ht="17">
      <c r="A1552" s="15">
        <f t="shared" ca="1" si="71"/>
        <v>754</v>
      </c>
      <c r="B1552" s="16">
        <f t="shared" ca="1" si="72"/>
        <v>0.60030339661516563</v>
      </c>
      <c r="C1552" s="17">
        <f>IF(AND(問題解答データベース!D1552&gt;=小テスト!$C$6,D1552&lt;=小テスト!$E$6),1,0)</f>
        <v>1</v>
      </c>
      <c r="D1552" s="44">
        <f t="shared" si="70"/>
        <v>1551</v>
      </c>
      <c r="E1552" s="45" t="s">
        <v>1715</v>
      </c>
      <c r="F1552" s="46" t="s">
        <v>3463</v>
      </c>
    </row>
    <row r="1553" spans="1:6" ht="17">
      <c r="A1553" s="15">
        <f t="shared" ca="1" si="71"/>
        <v>1148</v>
      </c>
      <c r="B1553" s="16">
        <f t="shared" ca="1" si="72"/>
        <v>0.39799980051057149</v>
      </c>
      <c r="C1553" s="17">
        <f>IF(AND(問題解答データベース!D1553&gt;=小テスト!$C$6,D1553&lt;=小テスト!$E$6),1,0)</f>
        <v>1</v>
      </c>
      <c r="D1553" s="44">
        <f t="shared" si="70"/>
        <v>1552</v>
      </c>
      <c r="E1553" s="45" t="s">
        <v>1716</v>
      </c>
      <c r="F1553" s="46" t="s">
        <v>3464</v>
      </c>
    </row>
    <row r="1554" spans="1:6" ht="17">
      <c r="A1554" s="15">
        <f t="shared" ca="1" si="71"/>
        <v>347</v>
      </c>
      <c r="B1554" s="16">
        <f t="shared" ca="1" si="72"/>
        <v>0.81352263252569168</v>
      </c>
      <c r="C1554" s="17">
        <f>IF(AND(問題解答データベース!D1554&gt;=小テスト!$C$6,D1554&lt;=小テスト!$E$6),1,0)</f>
        <v>1</v>
      </c>
      <c r="D1554" s="44">
        <f t="shared" si="70"/>
        <v>1553</v>
      </c>
      <c r="E1554" s="45" t="s">
        <v>1717</v>
      </c>
      <c r="F1554" s="46" t="s">
        <v>3465</v>
      </c>
    </row>
    <row r="1555" spans="1:6" ht="17">
      <c r="A1555" s="15">
        <f t="shared" ca="1" si="71"/>
        <v>1090</v>
      </c>
      <c r="B1555" s="16">
        <f t="shared" ca="1" si="72"/>
        <v>0.4297643486475603</v>
      </c>
      <c r="C1555" s="17">
        <f>IF(AND(問題解答データベース!D1555&gt;=小テスト!$C$6,D1555&lt;=小テスト!$E$6),1,0)</f>
        <v>1</v>
      </c>
      <c r="D1555" s="44">
        <f t="shared" si="70"/>
        <v>1554</v>
      </c>
      <c r="E1555" s="45" t="s">
        <v>1718</v>
      </c>
      <c r="F1555" s="46" t="s">
        <v>3466</v>
      </c>
    </row>
    <row r="1556" spans="1:6" ht="17">
      <c r="A1556" s="15">
        <f t="shared" ca="1" si="71"/>
        <v>1230</v>
      </c>
      <c r="B1556" s="16">
        <f t="shared" ca="1" si="72"/>
        <v>0.35979027706092193</v>
      </c>
      <c r="C1556" s="17">
        <f>IF(AND(問題解答データベース!D1556&gt;=小テスト!$C$6,D1556&lt;=小テスト!$E$6),1,0)</f>
        <v>1</v>
      </c>
      <c r="D1556" s="44">
        <f t="shared" si="70"/>
        <v>1555</v>
      </c>
      <c r="E1556" s="45" t="s">
        <v>1719</v>
      </c>
      <c r="F1556" s="46" t="s">
        <v>3467</v>
      </c>
    </row>
    <row r="1557" spans="1:6" ht="17">
      <c r="A1557" s="15">
        <f t="shared" ca="1" si="71"/>
        <v>179</v>
      </c>
      <c r="B1557" s="16">
        <f t="shared" ca="1" si="72"/>
        <v>0.91457131253046386</v>
      </c>
      <c r="C1557" s="17">
        <f>IF(AND(問題解答データベース!D1557&gt;=小テスト!$C$6,D1557&lt;=小テスト!$E$6),1,0)</f>
        <v>1</v>
      </c>
      <c r="D1557" s="44">
        <f t="shared" si="70"/>
        <v>1556</v>
      </c>
      <c r="E1557" s="45" t="s">
        <v>1720</v>
      </c>
      <c r="F1557" s="46" t="s">
        <v>3468</v>
      </c>
    </row>
    <row r="1558" spans="1:6" ht="17">
      <c r="A1558" s="15">
        <f t="shared" ca="1" si="71"/>
        <v>711</v>
      </c>
      <c r="B1558" s="16">
        <f t="shared" ca="1" si="72"/>
        <v>0.62233915229098336</v>
      </c>
      <c r="C1558" s="17">
        <f>IF(AND(問題解答データベース!D1558&gt;=小テスト!$C$6,D1558&lt;=小テスト!$E$6),1,0)</f>
        <v>1</v>
      </c>
      <c r="D1558" s="44">
        <f t="shared" si="70"/>
        <v>1557</v>
      </c>
      <c r="E1558" s="45" t="s">
        <v>1721</v>
      </c>
      <c r="F1558" s="46" t="s">
        <v>3469</v>
      </c>
    </row>
    <row r="1559" spans="1:6" ht="17">
      <c r="A1559" s="15">
        <f t="shared" ca="1" si="71"/>
        <v>1410</v>
      </c>
      <c r="B1559" s="16">
        <f t="shared" ca="1" si="72"/>
        <v>0.26237097566556</v>
      </c>
      <c r="C1559" s="17">
        <f>IF(AND(問題解答データベース!D1559&gt;=小テスト!$C$6,D1559&lt;=小テスト!$E$6),1,0)</f>
        <v>1</v>
      </c>
      <c r="D1559" s="44">
        <f t="shared" si="70"/>
        <v>1558</v>
      </c>
      <c r="E1559" s="45" t="s">
        <v>1722</v>
      </c>
      <c r="F1559" s="46" t="s">
        <v>3470</v>
      </c>
    </row>
    <row r="1560" spans="1:6" ht="17">
      <c r="A1560" s="15">
        <f t="shared" ca="1" si="71"/>
        <v>899</v>
      </c>
      <c r="B1560" s="16">
        <f t="shared" ca="1" si="72"/>
        <v>0.52276406589309132</v>
      </c>
      <c r="C1560" s="17">
        <f>IF(AND(問題解答データベース!D1560&gt;=小テスト!$C$6,D1560&lt;=小テスト!$E$6),1,0)</f>
        <v>1</v>
      </c>
      <c r="D1560" s="44">
        <f t="shared" si="70"/>
        <v>1559</v>
      </c>
      <c r="E1560" s="45" t="s">
        <v>1723</v>
      </c>
      <c r="F1560" s="46" t="s">
        <v>3471</v>
      </c>
    </row>
    <row r="1561" spans="1:6" ht="17">
      <c r="A1561" s="15">
        <f t="shared" ca="1" si="71"/>
        <v>549</v>
      </c>
      <c r="B1561" s="16">
        <f t="shared" ca="1" si="72"/>
        <v>0.71406980189624747</v>
      </c>
      <c r="C1561" s="17">
        <f>IF(AND(問題解答データベース!D1561&gt;=小テスト!$C$6,D1561&lt;=小テスト!$E$6),1,0)</f>
        <v>1</v>
      </c>
      <c r="D1561" s="44">
        <f t="shared" si="70"/>
        <v>1560</v>
      </c>
      <c r="E1561" s="45" t="s">
        <v>1724</v>
      </c>
      <c r="F1561" s="46" t="s">
        <v>3472</v>
      </c>
    </row>
    <row r="1562" spans="1:6" ht="17">
      <c r="A1562" s="15">
        <f t="shared" ca="1" si="71"/>
        <v>566</v>
      </c>
      <c r="B1562" s="16">
        <f t="shared" ca="1" si="72"/>
        <v>0.70511124704497852</v>
      </c>
      <c r="C1562" s="17">
        <f>IF(AND(問題解答データベース!D1562&gt;=小テスト!$C$6,D1562&lt;=小テスト!$E$6),1,0)</f>
        <v>1</v>
      </c>
      <c r="D1562" s="44">
        <f t="shared" si="70"/>
        <v>1561</v>
      </c>
      <c r="E1562" s="45" t="s">
        <v>1725</v>
      </c>
      <c r="F1562" s="46" t="s">
        <v>3473</v>
      </c>
    </row>
    <row r="1563" spans="1:6" ht="17">
      <c r="A1563" s="15">
        <f t="shared" ca="1" si="71"/>
        <v>1036</v>
      </c>
      <c r="B1563" s="16">
        <f t="shared" ca="1" si="72"/>
        <v>0.46418109985168365</v>
      </c>
      <c r="C1563" s="17">
        <f>IF(AND(問題解答データベース!D1563&gt;=小テスト!$C$6,D1563&lt;=小テスト!$E$6),1,0)</f>
        <v>1</v>
      </c>
      <c r="D1563" s="44">
        <f t="shared" si="70"/>
        <v>1562</v>
      </c>
      <c r="E1563" s="45" t="s">
        <v>1726</v>
      </c>
      <c r="F1563" s="46" t="s">
        <v>3474</v>
      </c>
    </row>
    <row r="1564" spans="1:6" ht="17">
      <c r="A1564" s="15">
        <f t="shared" ca="1" si="71"/>
        <v>1456</v>
      </c>
      <c r="B1564" s="16">
        <f t="shared" ca="1" si="72"/>
        <v>0.22891935563958732</v>
      </c>
      <c r="C1564" s="17">
        <f>IF(AND(問題解答データベース!D1564&gt;=小テスト!$C$6,D1564&lt;=小テスト!$E$6),1,0)</f>
        <v>1</v>
      </c>
      <c r="D1564" s="44">
        <f t="shared" ref="D1564:D1627" si="73">D1563+1</f>
        <v>1563</v>
      </c>
      <c r="E1564" s="45" t="s">
        <v>1727</v>
      </c>
      <c r="F1564" s="46" t="s">
        <v>3475</v>
      </c>
    </row>
    <row r="1565" spans="1:6" ht="17">
      <c r="A1565" s="15">
        <f t="shared" ca="1" si="71"/>
        <v>792</v>
      </c>
      <c r="B1565" s="16">
        <f t="shared" ca="1" si="72"/>
        <v>0.57919751619707704</v>
      </c>
      <c r="C1565" s="17">
        <f>IF(AND(問題解答データベース!D1565&gt;=小テスト!$C$6,D1565&lt;=小テスト!$E$6),1,0)</f>
        <v>1</v>
      </c>
      <c r="D1565" s="44">
        <f t="shared" si="73"/>
        <v>1564</v>
      </c>
      <c r="E1565" s="45" t="s">
        <v>1728</v>
      </c>
      <c r="F1565" s="46" t="s">
        <v>3476</v>
      </c>
    </row>
    <row r="1566" spans="1:6" ht="17">
      <c r="A1566" s="15">
        <f t="shared" ca="1" si="71"/>
        <v>370</v>
      </c>
      <c r="B1566" s="16">
        <f t="shared" ca="1" si="72"/>
        <v>0.80237723475320366</v>
      </c>
      <c r="C1566" s="17">
        <f>IF(AND(問題解答データベース!D1566&gt;=小テスト!$C$6,D1566&lt;=小テスト!$E$6),1,0)</f>
        <v>1</v>
      </c>
      <c r="D1566" s="44">
        <f t="shared" si="73"/>
        <v>1565</v>
      </c>
      <c r="E1566" s="45" t="s">
        <v>1729</v>
      </c>
      <c r="F1566" s="46" t="s">
        <v>3477</v>
      </c>
    </row>
    <row r="1567" spans="1:6" ht="17">
      <c r="A1567" s="15">
        <f t="shared" ca="1" si="71"/>
        <v>443</v>
      </c>
      <c r="B1567" s="16">
        <f t="shared" ca="1" si="72"/>
        <v>0.7665593827367293</v>
      </c>
      <c r="C1567" s="17">
        <f>IF(AND(問題解答データベース!D1567&gt;=小テスト!$C$6,D1567&lt;=小テスト!$E$6),1,0)</f>
        <v>1</v>
      </c>
      <c r="D1567" s="44">
        <f t="shared" si="73"/>
        <v>1566</v>
      </c>
      <c r="E1567" s="45" t="s">
        <v>1730</v>
      </c>
      <c r="F1567" s="46" t="s">
        <v>3478</v>
      </c>
    </row>
    <row r="1568" spans="1:6" ht="17">
      <c r="A1568" s="15">
        <f t="shared" ca="1" si="71"/>
        <v>1073</v>
      </c>
      <c r="B1568" s="16">
        <f t="shared" ca="1" si="72"/>
        <v>0.44057645286823799</v>
      </c>
      <c r="C1568" s="17">
        <f>IF(AND(問題解答データベース!D1568&gt;=小テスト!$C$6,D1568&lt;=小テスト!$E$6),1,0)</f>
        <v>1</v>
      </c>
      <c r="D1568" s="44">
        <f t="shared" si="73"/>
        <v>1567</v>
      </c>
      <c r="E1568" s="45" t="s">
        <v>1731</v>
      </c>
      <c r="F1568" s="46" t="s">
        <v>3479</v>
      </c>
    </row>
    <row r="1569" spans="1:6" ht="17">
      <c r="A1569" s="15">
        <f t="shared" ca="1" si="71"/>
        <v>375</v>
      </c>
      <c r="B1569" s="16">
        <f t="shared" ca="1" si="72"/>
        <v>0.79933305719886605</v>
      </c>
      <c r="C1569" s="17">
        <f>IF(AND(問題解答データベース!D1569&gt;=小テスト!$C$6,D1569&lt;=小テスト!$E$6),1,0)</f>
        <v>1</v>
      </c>
      <c r="D1569" s="44">
        <f t="shared" si="73"/>
        <v>1568</v>
      </c>
      <c r="E1569" s="45" t="s">
        <v>1732</v>
      </c>
      <c r="F1569" s="46" t="s">
        <v>3480</v>
      </c>
    </row>
    <row r="1570" spans="1:6" ht="17">
      <c r="A1570" s="15">
        <f t="shared" ca="1" si="71"/>
        <v>1115</v>
      </c>
      <c r="B1570" s="16">
        <f t="shared" ca="1" si="72"/>
        <v>0.41518237315688555</v>
      </c>
      <c r="C1570" s="17">
        <f>IF(AND(問題解答データベース!D1570&gt;=小テスト!$C$6,D1570&lt;=小テスト!$E$6),1,0)</f>
        <v>1</v>
      </c>
      <c r="D1570" s="44">
        <f t="shared" si="73"/>
        <v>1569</v>
      </c>
      <c r="E1570" s="45" t="s">
        <v>1733</v>
      </c>
      <c r="F1570" s="46" t="s">
        <v>3481</v>
      </c>
    </row>
    <row r="1571" spans="1:6" ht="17">
      <c r="A1571" s="15">
        <f t="shared" ca="1" si="71"/>
        <v>768</v>
      </c>
      <c r="B1571" s="16">
        <f t="shared" ca="1" si="72"/>
        <v>0.59490432536625881</v>
      </c>
      <c r="C1571" s="17">
        <f>IF(AND(問題解答データベース!D1571&gt;=小テスト!$C$6,D1571&lt;=小テスト!$E$6),1,0)</f>
        <v>1</v>
      </c>
      <c r="D1571" s="44">
        <f t="shared" si="73"/>
        <v>1570</v>
      </c>
      <c r="E1571" s="45" t="s">
        <v>1734</v>
      </c>
      <c r="F1571" s="46" t="s">
        <v>3482</v>
      </c>
    </row>
    <row r="1572" spans="1:6" ht="17">
      <c r="A1572" s="15">
        <f t="shared" ca="1" si="71"/>
        <v>949</v>
      </c>
      <c r="B1572" s="16">
        <f t="shared" ca="1" si="72"/>
        <v>0.49938468326682661</v>
      </c>
      <c r="C1572" s="17">
        <f>IF(AND(問題解答データベース!D1572&gt;=小テスト!$C$6,D1572&lt;=小テスト!$E$6),1,0)</f>
        <v>1</v>
      </c>
      <c r="D1572" s="44">
        <f t="shared" si="73"/>
        <v>1571</v>
      </c>
      <c r="E1572" s="45" t="s">
        <v>1735</v>
      </c>
      <c r="F1572" s="46" t="s">
        <v>3483</v>
      </c>
    </row>
    <row r="1573" spans="1:6" ht="17">
      <c r="A1573" s="15">
        <f t="shared" ca="1" si="71"/>
        <v>910</v>
      </c>
      <c r="B1573" s="16">
        <f t="shared" ca="1" si="72"/>
        <v>0.51990373109024013</v>
      </c>
      <c r="C1573" s="17">
        <f>IF(AND(問題解答データベース!D1573&gt;=小テスト!$C$6,D1573&lt;=小テスト!$E$6),1,0)</f>
        <v>1</v>
      </c>
      <c r="D1573" s="44">
        <f t="shared" si="73"/>
        <v>1572</v>
      </c>
      <c r="E1573" s="45" t="s">
        <v>1736</v>
      </c>
      <c r="F1573" s="46" t="s">
        <v>3484</v>
      </c>
    </row>
    <row r="1574" spans="1:6" ht="17">
      <c r="A1574" s="15">
        <f t="shared" ca="1" si="71"/>
        <v>1895</v>
      </c>
      <c r="B1574" s="16">
        <f t="shared" ca="1" si="72"/>
        <v>2.7235377364229763E-3</v>
      </c>
      <c r="C1574" s="17">
        <f>IF(AND(問題解答データベース!D1574&gt;=小テスト!$C$6,D1574&lt;=小テスト!$E$6),1,0)</f>
        <v>1</v>
      </c>
      <c r="D1574" s="44">
        <f t="shared" si="73"/>
        <v>1573</v>
      </c>
      <c r="E1574" s="45" t="s">
        <v>1737</v>
      </c>
      <c r="F1574" s="46" t="s">
        <v>3485</v>
      </c>
    </row>
    <row r="1575" spans="1:6" ht="17">
      <c r="A1575" s="15">
        <f t="shared" ca="1" si="71"/>
        <v>1420</v>
      </c>
      <c r="B1575" s="16">
        <f t="shared" ca="1" si="72"/>
        <v>0.2529484288814674</v>
      </c>
      <c r="C1575" s="17">
        <f>IF(AND(問題解答データベース!D1575&gt;=小テスト!$C$6,D1575&lt;=小テスト!$E$6),1,0)</f>
        <v>1</v>
      </c>
      <c r="D1575" s="44">
        <f t="shared" si="73"/>
        <v>1574</v>
      </c>
      <c r="E1575" s="45" t="s">
        <v>1738</v>
      </c>
      <c r="F1575" s="46" t="s">
        <v>3486</v>
      </c>
    </row>
    <row r="1576" spans="1:6" ht="17">
      <c r="A1576" s="15">
        <f t="shared" ca="1" si="71"/>
        <v>541</v>
      </c>
      <c r="B1576" s="16">
        <f t="shared" ca="1" si="72"/>
        <v>0.71845491216150859</v>
      </c>
      <c r="C1576" s="17">
        <f>IF(AND(問題解答データベース!D1576&gt;=小テスト!$C$6,D1576&lt;=小テスト!$E$6),1,0)</f>
        <v>1</v>
      </c>
      <c r="D1576" s="44">
        <f t="shared" si="73"/>
        <v>1575</v>
      </c>
      <c r="E1576" s="45" t="s">
        <v>1739</v>
      </c>
      <c r="F1576" s="46" t="s">
        <v>3487</v>
      </c>
    </row>
    <row r="1577" spans="1:6" ht="17">
      <c r="A1577" s="15">
        <f t="shared" ca="1" si="71"/>
        <v>166</v>
      </c>
      <c r="B1577" s="16">
        <f t="shared" ca="1" si="72"/>
        <v>0.91957935875094721</v>
      </c>
      <c r="C1577" s="17">
        <f>IF(AND(問題解答データベース!D1577&gt;=小テスト!$C$6,D1577&lt;=小テスト!$E$6),1,0)</f>
        <v>1</v>
      </c>
      <c r="D1577" s="44">
        <f t="shared" si="73"/>
        <v>1576</v>
      </c>
      <c r="E1577" s="45" t="s">
        <v>1740</v>
      </c>
      <c r="F1577" s="46" t="s">
        <v>3488</v>
      </c>
    </row>
    <row r="1578" spans="1:6" ht="17">
      <c r="A1578" s="15">
        <f t="shared" ca="1" si="71"/>
        <v>1366</v>
      </c>
      <c r="B1578" s="16">
        <f t="shared" ca="1" si="72"/>
        <v>0.28536209406648916</v>
      </c>
      <c r="C1578" s="17">
        <f>IF(AND(問題解答データベース!D1578&gt;=小テスト!$C$6,D1578&lt;=小テスト!$E$6),1,0)</f>
        <v>1</v>
      </c>
      <c r="D1578" s="44">
        <f t="shared" si="73"/>
        <v>1577</v>
      </c>
      <c r="E1578" s="45" t="s">
        <v>1741</v>
      </c>
      <c r="F1578" s="46" t="s">
        <v>3489</v>
      </c>
    </row>
    <row r="1579" spans="1:6" ht="17">
      <c r="A1579" s="15">
        <f t="shared" ca="1" si="71"/>
        <v>1065</v>
      </c>
      <c r="B1579" s="16">
        <f t="shared" ca="1" si="72"/>
        <v>0.44679391702670646</v>
      </c>
      <c r="C1579" s="17">
        <f>IF(AND(問題解答データベース!D1579&gt;=小テスト!$C$6,D1579&lt;=小テスト!$E$6),1,0)</f>
        <v>1</v>
      </c>
      <c r="D1579" s="44">
        <f t="shared" si="73"/>
        <v>1578</v>
      </c>
      <c r="E1579" s="45" t="s">
        <v>1742</v>
      </c>
      <c r="F1579" s="46" t="s">
        <v>3490</v>
      </c>
    </row>
    <row r="1580" spans="1:6" ht="17">
      <c r="A1580" s="15">
        <f t="shared" ca="1" si="71"/>
        <v>455</v>
      </c>
      <c r="B1580" s="16">
        <f t="shared" ca="1" si="72"/>
        <v>0.76289573541759081</v>
      </c>
      <c r="C1580" s="17">
        <f>IF(AND(問題解答データベース!D1580&gt;=小テスト!$C$6,D1580&lt;=小テスト!$E$6),1,0)</f>
        <v>1</v>
      </c>
      <c r="D1580" s="44">
        <f t="shared" si="73"/>
        <v>1579</v>
      </c>
      <c r="E1580" s="45" t="s">
        <v>1743</v>
      </c>
      <c r="F1580" s="46" t="s">
        <v>3491</v>
      </c>
    </row>
    <row r="1581" spans="1:6" ht="17">
      <c r="A1581" s="15">
        <f t="shared" ca="1" si="71"/>
        <v>333</v>
      </c>
      <c r="B1581" s="16">
        <f t="shared" ca="1" si="72"/>
        <v>0.81987825733323871</v>
      </c>
      <c r="C1581" s="17">
        <f>IF(AND(問題解答データベース!D1581&gt;=小テスト!$C$6,D1581&lt;=小テスト!$E$6),1,0)</f>
        <v>1</v>
      </c>
      <c r="D1581" s="44">
        <f t="shared" si="73"/>
        <v>1580</v>
      </c>
      <c r="E1581" s="45" t="s">
        <v>1744</v>
      </c>
      <c r="F1581" s="46" t="s">
        <v>3492</v>
      </c>
    </row>
    <row r="1582" spans="1:6" ht="17">
      <c r="A1582" s="15">
        <f t="shared" ca="1" si="71"/>
        <v>630</v>
      </c>
      <c r="B1582" s="16">
        <f t="shared" ca="1" si="72"/>
        <v>0.66502309289056605</v>
      </c>
      <c r="C1582" s="17">
        <f>IF(AND(問題解答データベース!D1582&gt;=小テスト!$C$6,D1582&lt;=小テスト!$E$6),1,0)</f>
        <v>1</v>
      </c>
      <c r="D1582" s="44">
        <f t="shared" si="73"/>
        <v>1581</v>
      </c>
      <c r="E1582" s="45" t="s">
        <v>1745</v>
      </c>
      <c r="F1582" s="46" t="s">
        <v>3493</v>
      </c>
    </row>
    <row r="1583" spans="1:6" ht="17">
      <c r="A1583" s="15">
        <f t="shared" ca="1" si="71"/>
        <v>148</v>
      </c>
      <c r="B1583" s="16">
        <f t="shared" ca="1" si="72"/>
        <v>0.92562554061834579</v>
      </c>
      <c r="C1583" s="17">
        <f>IF(AND(問題解答データベース!D1583&gt;=小テスト!$C$6,D1583&lt;=小テスト!$E$6),1,0)</f>
        <v>1</v>
      </c>
      <c r="D1583" s="44">
        <f t="shared" si="73"/>
        <v>1582</v>
      </c>
      <c r="E1583" s="45" t="s">
        <v>1746</v>
      </c>
      <c r="F1583" s="46" t="s">
        <v>3494</v>
      </c>
    </row>
    <row r="1584" spans="1:6" ht="17">
      <c r="A1584" s="15">
        <f t="shared" ca="1" si="71"/>
        <v>1826</v>
      </c>
      <c r="B1584" s="16">
        <f t="shared" ca="1" si="72"/>
        <v>3.6102317160271125E-2</v>
      </c>
      <c r="C1584" s="17">
        <f>IF(AND(問題解答データベース!D1584&gt;=小テスト!$C$6,D1584&lt;=小テスト!$E$6),1,0)</f>
        <v>1</v>
      </c>
      <c r="D1584" s="44">
        <f t="shared" si="73"/>
        <v>1583</v>
      </c>
      <c r="E1584" s="45" t="s">
        <v>1747</v>
      </c>
      <c r="F1584" s="46" t="s">
        <v>3495</v>
      </c>
    </row>
    <row r="1585" spans="1:6" ht="17">
      <c r="A1585" s="15">
        <f t="shared" ca="1" si="71"/>
        <v>1046</v>
      </c>
      <c r="B1585" s="16">
        <f t="shared" ca="1" si="72"/>
        <v>0.45757700027640513</v>
      </c>
      <c r="C1585" s="17">
        <f>IF(AND(問題解答データベース!D1585&gt;=小テスト!$C$6,D1585&lt;=小テスト!$E$6),1,0)</f>
        <v>1</v>
      </c>
      <c r="D1585" s="44">
        <f t="shared" si="73"/>
        <v>1584</v>
      </c>
      <c r="E1585" s="45" t="s">
        <v>1748</v>
      </c>
      <c r="F1585" s="46" t="s">
        <v>3496</v>
      </c>
    </row>
    <row r="1586" spans="1:6" ht="17">
      <c r="A1586" s="15">
        <f t="shared" ca="1" si="71"/>
        <v>1308</v>
      </c>
      <c r="B1586" s="16">
        <f t="shared" ca="1" si="72"/>
        <v>0.31492321936570555</v>
      </c>
      <c r="C1586" s="17">
        <f>IF(AND(問題解答データベース!D1586&gt;=小テスト!$C$6,D1586&lt;=小テスト!$E$6),1,0)</f>
        <v>1</v>
      </c>
      <c r="D1586" s="44">
        <f t="shared" si="73"/>
        <v>1585</v>
      </c>
      <c r="E1586" s="45" t="s">
        <v>1749</v>
      </c>
      <c r="F1586" s="46" t="s">
        <v>3497</v>
      </c>
    </row>
    <row r="1587" spans="1:6" ht="17">
      <c r="A1587" s="15">
        <f t="shared" ca="1" si="71"/>
        <v>546</v>
      </c>
      <c r="B1587" s="16">
        <f t="shared" ca="1" si="72"/>
        <v>0.71503083186083605</v>
      </c>
      <c r="C1587" s="17">
        <f>IF(AND(問題解答データベース!D1587&gt;=小テスト!$C$6,D1587&lt;=小テスト!$E$6),1,0)</f>
        <v>1</v>
      </c>
      <c r="D1587" s="44">
        <f t="shared" si="73"/>
        <v>1586</v>
      </c>
      <c r="E1587" s="45" t="s">
        <v>1750</v>
      </c>
      <c r="F1587" s="46" t="s">
        <v>3498</v>
      </c>
    </row>
    <row r="1588" spans="1:6" ht="17">
      <c r="A1588" s="15">
        <f t="shared" ca="1" si="71"/>
        <v>1801</v>
      </c>
      <c r="B1588" s="16">
        <f t="shared" ca="1" si="72"/>
        <v>4.7981814086924146E-2</v>
      </c>
      <c r="C1588" s="17">
        <f>IF(AND(問題解答データベース!D1588&gt;=小テスト!$C$6,D1588&lt;=小テスト!$E$6),1,0)</f>
        <v>1</v>
      </c>
      <c r="D1588" s="44">
        <f t="shared" si="73"/>
        <v>1587</v>
      </c>
      <c r="E1588" s="45" t="s">
        <v>1751</v>
      </c>
      <c r="F1588" s="46" t="s">
        <v>3499</v>
      </c>
    </row>
    <row r="1589" spans="1:6" ht="17">
      <c r="A1589" s="15">
        <f t="shared" ca="1" si="71"/>
        <v>1624</v>
      </c>
      <c r="B1589" s="16">
        <f t="shared" ca="1" si="72"/>
        <v>0.14492057828489924</v>
      </c>
      <c r="C1589" s="17">
        <f>IF(AND(問題解答データベース!D1589&gt;=小テスト!$C$6,D1589&lt;=小テスト!$E$6),1,0)</f>
        <v>1</v>
      </c>
      <c r="D1589" s="44">
        <f t="shared" si="73"/>
        <v>1588</v>
      </c>
      <c r="E1589" s="45" t="s">
        <v>1752</v>
      </c>
      <c r="F1589" s="46" t="s">
        <v>3500</v>
      </c>
    </row>
    <row r="1590" spans="1:6" ht="17">
      <c r="A1590" s="15">
        <f t="shared" ca="1" si="71"/>
        <v>667</v>
      </c>
      <c r="B1590" s="16">
        <f t="shared" ca="1" si="72"/>
        <v>0.6502203309304867</v>
      </c>
      <c r="C1590" s="17">
        <f>IF(AND(問題解答データベース!D1590&gt;=小テスト!$C$6,D1590&lt;=小テスト!$E$6),1,0)</f>
        <v>1</v>
      </c>
      <c r="D1590" s="44">
        <f t="shared" si="73"/>
        <v>1589</v>
      </c>
      <c r="E1590" s="45" t="s">
        <v>1753</v>
      </c>
      <c r="F1590" s="46" t="s">
        <v>3501</v>
      </c>
    </row>
    <row r="1591" spans="1:6" ht="17">
      <c r="A1591" s="15">
        <f t="shared" ca="1" si="71"/>
        <v>1063</v>
      </c>
      <c r="B1591" s="16">
        <f t="shared" ca="1" si="72"/>
        <v>0.44830662072888006</v>
      </c>
      <c r="C1591" s="17">
        <f>IF(AND(問題解答データベース!D1591&gt;=小テスト!$C$6,D1591&lt;=小テスト!$E$6),1,0)</f>
        <v>1</v>
      </c>
      <c r="D1591" s="44">
        <f t="shared" si="73"/>
        <v>1590</v>
      </c>
      <c r="E1591" s="45" t="s">
        <v>1754</v>
      </c>
      <c r="F1591" s="46" t="s">
        <v>3502</v>
      </c>
    </row>
    <row r="1592" spans="1:6" ht="17">
      <c r="A1592" s="15">
        <f t="shared" ca="1" si="71"/>
        <v>1182</v>
      </c>
      <c r="B1592" s="16">
        <f t="shared" ca="1" si="72"/>
        <v>0.37550653958061675</v>
      </c>
      <c r="C1592" s="17">
        <f>IF(AND(問題解答データベース!D1592&gt;=小テスト!$C$6,D1592&lt;=小テスト!$E$6),1,0)</f>
        <v>1</v>
      </c>
      <c r="D1592" s="44">
        <f t="shared" si="73"/>
        <v>1591</v>
      </c>
      <c r="E1592" s="45" t="s">
        <v>1755</v>
      </c>
      <c r="F1592" s="46" t="s">
        <v>3503</v>
      </c>
    </row>
    <row r="1593" spans="1:6" ht="17">
      <c r="A1593" s="15">
        <f t="shared" ca="1" si="71"/>
        <v>608</v>
      </c>
      <c r="B1593" s="16">
        <f t="shared" ca="1" si="72"/>
        <v>0.67837344054476145</v>
      </c>
      <c r="C1593" s="17">
        <f>IF(AND(問題解答データベース!D1593&gt;=小テスト!$C$6,D1593&lt;=小テスト!$E$6),1,0)</f>
        <v>1</v>
      </c>
      <c r="D1593" s="44">
        <f t="shared" si="73"/>
        <v>1592</v>
      </c>
      <c r="E1593" s="45" t="s">
        <v>1756</v>
      </c>
      <c r="F1593" s="46" t="s">
        <v>3504</v>
      </c>
    </row>
    <row r="1594" spans="1:6" ht="17">
      <c r="A1594" s="15">
        <f t="shared" ca="1" si="71"/>
        <v>961</v>
      </c>
      <c r="B1594" s="16">
        <f t="shared" ca="1" si="72"/>
        <v>0.49376065907281086</v>
      </c>
      <c r="C1594" s="17">
        <f>IF(AND(問題解答データベース!D1594&gt;=小テスト!$C$6,D1594&lt;=小テスト!$E$6),1,0)</f>
        <v>1</v>
      </c>
      <c r="D1594" s="44">
        <f t="shared" si="73"/>
        <v>1593</v>
      </c>
      <c r="E1594" s="45" t="s">
        <v>1757</v>
      </c>
      <c r="F1594" s="46" t="s">
        <v>3505</v>
      </c>
    </row>
    <row r="1595" spans="1:6" ht="17">
      <c r="A1595" s="15">
        <f t="shared" ca="1" si="71"/>
        <v>92</v>
      </c>
      <c r="B1595" s="16">
        <f t="shared" ca="1" si="72"/>
        <v>0.9558525102773614</v>
      </c>
      <c r="C1595" s="17">
        <f>IF(AND(問題解答データベース!D1595&gt;=小テスト!$C$6,D1595&lt;=小テスト!$E$6),1,0)</f>
        <v>1</v>
      </c>
      <c r="D1595" s="44">
        <f t="shared" si="73"/>
        <v>1594</v>
      </c>
      <c r="E1595" s="45" t="s">
        <v>1758</v>
      </c>
      <c r="F1595" s="46" t="s">
        <v>3506</v>
      </c>
    </row>
    <row r="1596" spans="1:6" ht="17">
      <c r="A1596" s="15">
        <f t="shared" ca="1" si="71"/>
        <v>149</v>
      </c>
      <c r="B1596" s="16">
        <f t="shared" ca="1" si="72"/>
        <v>0.92534379741239836</v>
      </c>
      <c r="C1596" s="17">
        <f>IF(AND(問題解答データベース!D1596&gt;=小テスト!$C$6,D1596&lt;=小テスト!$E$6),1,0)</f>
        <v>1</v>
      </c>
      <c r="D1596" s="44">
        <f t="shared" si="73"/>
        <v>1595</v>
      </c>
      <c r="E1596" s="45" t="s">
        <v>1759</v>
      </c>
      <c r="F1596" s="46" t="s">
        <v>3507</v>
      </c>
    </row>
    <row r="1597" spans="1:6" ht="17">
      <c r="A1597" s="15">
        <f t="shared" ca="1" si="71"/>
        <v>139</v>
      </c>
      <c r="B1597" s="16">
        <f t="shared" ca="1" si="72"/>
        <v>0.93319540774988075</v>
      </c>
      <c r="C1597" s="17">
        <f>IF(AND(問題解答データベース!D1597&gt;=小テスト!$C$6,D1597&lt;=小テスト!$E$6),1,0)</f>
        <v>1</v>
      </c>
      <c r="D1597" s="44">
        <f t="shared" si="73"/>
        <v>1596</v>
      </c>
      <c r="E1597" s="45" t="s">
        <v>1760</v>
      </c>
      <c r="F1597" s="46" t="s">
        <v>3508</v>
      </c>
    </row>
    <row r="1598" spans="1:6" ht="17">
      <c r="A1598" s="15">
        <f t="shared" ca="1" si="71"/>
        <v>500</v>
      </c>
      <c r="B1598" s="16">
        <f t="shared" ca="1" si="72"/>
        <v>0.74044053585955438</v>
      </c>
      <c r="C1598" s="17">
        <f>IF(AND(問題解答データベース!D1598&gt;=小テスト!$C$6,D1598&lt;=小テスト!$E$6),1,0)</f>
        <v>1</v>
      </c>
      <c r="D1598" s="44">
        <f t="shared" si="73"/>
        <v>1597</v>
      </c>
      <c r="E1598" s="45" t="s">
        <v>1761</v>
      </c>
      <c r="F1598" s="46" t="s">
        <v>3509</v>
      </c>
    </row>
    <row r="1599" spans="1:6" ht="17">
      <c r="A1599" s="15">
        <f t="shared" ca="1" si="71"/>
        <v>1400</v>
      </c>
      <c r="B1599" s="16">
        <f t="shared" ca="1" si="72"/>
        <v>0.2657103753745127</v>
      </c>
      <c r="C1599" s="17">
        <f>IF(AND(問題解答データベース!D1599&gt;=小テスト!$C$6,D1599&lt;=小テスト!$E$6),1,0)</f>
        <v>1</v>
      </c>
      <c r="D1599" s="44">
        <f t="shared" si="73"/>
        <v>1598</v>
      </c>
      <c r="E1599" s="45" t="s">
        <v>1762</v>
      </c>
      <c r="F1599" s="46" t="s">
        <v>3510</v>
      </c>
    </row>
    <row r="1600" spans="1:6" ht="17">
      <c r="A1600" s="15">
        <f t="shared" ca="1" si="71"/>
        <v>1612</v>
      </c>
      <c r="B1600" s="16">
        <f t="shared" ca="1" si="72"/>
        <v>0.15185075008346927</v>
      </c>
      <c r="C1600" s="17">
        <f>IF(AND(問題解答データベース!D1600&gt;=小テスト!$C$6,D1600&lt;=小テスト!$E$6),1,0)</f>
        <v>1</v>
      </c>
      <c r="D1600" s="44">
        <f t="shared" si="73"/>
        <v>1599</v>
      </c>
      <c r="E1600" s="45" t="s">
        <v>1763</v>
      </c>
      <c r="F1600" s="46" t="s">
        <v>3511</v>
      </c>
    </row>
    <row r="1601" spans="1:6" ht="17">
      <c r="A1601" s="15">
        <f t="shared" ca="1" si="71"/>
        <v>734</v>
      </c>
      <c r="B1601" s="16">
        <f t="shared" ca="1" si="72"/>
        <v>0.60770073146822678</v>
      </c>
      <c r="C1601" s="17">
        <f>IF(AND(問題解答データベース!D1601&gt;=小テスト!$C$6,D1601&lt;=小テスト!$E$6),1,0)</f>
        <v>1</v>
      </c>
      <c r="D1601" s="44">
        <f t="shared" si="73"/>
        <v>1600</v>
      </c>
      <c r="E1601" s="45" t="s">
        <v>1764</v>
      </c>
      <c r="F1601" s="46" t="s">
        <v>3512</v>
      </c>
    </row>
    <row r="1602" spans="1:6" ht="17">
      <c r="A1602" s="15">
        <f t="shared" ca="1" si="71"/>
        <v>494</v>
      </c>
      <c r="B1602" s="16">
        <f t="shared" ca="1" si="72"/>
        <v>0.74307058786589586</v>
      </c>
      <c r="C1602" s="17">
        <f>IF(AND(問題解答データベース!D1602&gt;=小テスト!$C$6,D1602&lt;=小テスト!$E$6),1,0)</f>
        <v>1</v>
      </c>
      <c r="D1602" s="44">
        <f t="shared" si="73"/>
        <v>1601</v>
      </c>
      <c r="E1602" s="45" t="s">
        <v>1765</v>
      </c>
      <c r="F1602" s="46" t="s">
        <v>3513</v>
      </c>
    </row>
    <row r="1603" spans="1:6" ht="17">
      <c r="A1603" s="15">
        <f t="shared" ref="A1603:A1666" ca="1" si="74">RANK(B1603,$B$2:$B$1901,0)</f>
        <v>1243</v>
      </c>
      <c r="B1603" s="16">
        <f t="shared" ca="1" si="72"/>
        <v>0.3544656003771014</v>
      </c>
      <c r="C1603" s="17">
        <f>IF(AND(問題解答データベース!D1603&gt;=小テスト!$C$6,D1603&lt;=小テスト!$E$6),1,0)</f>
        <v>1</v>
      </c>
      <c r="D1603" s="44">
        <f t="shared" si="73"/>
        <v>1602</v>
      </c>
      <c r="E1603" s="45" t="s">
        <v>1766</v>
      </c>
      <c r="F1603" s="46" t="s">
        <v>3514</v>
      </c>
    </row>
    <row r="1604" spans="1:6" ht="17">
      <c r="A1604" s="15">
        <f t="shared" ca="1" si="74"/>
        <v>790</v>
      </c>
      <c r="B1604" s="16">
        <f t="shared" ca="1" si="72"/>
        <v>0.57930333819288382</v>
      </c>
      <c r="C1604" s="17">
        <f>IF(AND(問題解答データベース!D1604&gt;=小テスト!$C$6,D1604&lt;=小テスト!$E$6),1,0)</f>
        <v>1</v>
      </c>
      <c r="D1604" s="44">
        <f t="shared" si="73"/>
        <v>1603</v>
      </c>
      <c r="E1604" s="45" t="s">
        <v>1767</v>
      </c>
      <c r="F1604" s="46" t="s">
        <v>3515</v>
      </c>
    </row>
    <row r="1605" spans="1:6" ht="17">
      <c r="A1605" s="15">
        <f t="shared" ca="1" si="74"/>
        <v>1654</v>
      </c>
      <c r="B1605" s="16">
        <f t="shared" ca="1" si="72"/>
        <v>0.12623903479296417</v>
      </c>
      <c r="C1605" s="17">
        <f>IF(AND(問題解答データベース!D1605&gt;=小テスト!$C$6,D1605&lt;=小テスト!$E$6),1,0)</f>
        <v>1</v>
      </c>
      <c r="D1605" s="44">
        <f t="shared" si="73"/>
        <v>1604</v>
      </c>
      <c r="E1605" s="45" t="s">
        <v>1768</v>
      </c>
      <c r="F1605" s="46" t="s">
        <v>3516</v>
      </c>
    </row>
    <row r="1606" spans="1:6" ht="17">
      <c r="A1606" s="15">
        <f t="shared" ca="1" si="74"/>
        <v>655</v>
      </c>
      <c r="B1606" s="16">
        <f t="shared" ca="1" si="72"/>
        <v>0.65678350198399726</v>
      </c>
      <c r="C1606" s="17">
        <f>IF(AND(問題解答データベース!D1606&gt;=小テスト!$C$6,D1606&lt;=小テスト!$E$6),1,0)</f>
        <v>1</v>
      </c>
      <c r="D1606" s="44">
        <f t="shared" si="73"/>
        <v>1605</v>
      </c>
      <c r="E1606" s="45" t="s">
        <v>1769</v>
      </c>
      <c r="F1606" s="46" t="s">
        <v>3517</v>
      </c>
    </row>
    <row r="1607" spans="1:6" ht="17">
      <c r="A1607" s="15">
        <f t="shared" ca="1" si="74"/>
        <v>1008</v>
      </c>
      <c r="B1607" s="16">
        <f t="shared" ca="1" si="72"/>
        <v>0.47520558263619161</v>
      </c>
      <c r="C1607" s="17">
        <f>IF(AND(問題解答データベース!D1607&gt;=小テスト!$C$6,D1607&lt;=小テスト!$E$6),1,0)</f>
        <v>1</v>
      </c>
      <c r="D1607" s="44">
        <f t="shared" si="73"/>
        <v>1606</v>
      </c>
      <c r="E1607" s="45" t="s">
        <v>1770</v>
      </c>
      <c r="F1607" s="46" t="s">
        <v>3518</v>
      </c>
    </row>
    <row r="1608" spans="1:6" ht="17">
      <c r="A1608" s="15">
        <f t="shared" ca="1" si="74"/>
        <v>1529</v>
      </c>
      <c r="B1608" s="16">
        <f t="shared" ca="1" si="72"/>
        <v>0.18760629606954504</v>
      </c>
      <c r="C1608" s="17">
        <f>IF(AND(問題解答データベース!D1608&gt;=小テスト!$C$6,D1608&lt;=小テスト!$E$6),1,0)</f>
        <v>1</v>
      </c>
      <c r="D1608" s="44">
        <f t="shared" si="73"/>
        <v>1607</v>
      </c>
      <c r="E1608" s="45" t="s">
        <v>1771</v>
      </c>
      <c r="F1608" s="46" t="s">
        <v>3519</v>
      </c>
    </row>
    <row r="1609" spans="1:6" ht="17">
      <c r="A1609" s="15">
        <f t="shared" ca="1" si="74"/>
        <v>1076</v>
      </c>
      <c r="B1609" s="16">
        <f t="shared" ca="1" si="72"/>
        <v>0.43607939448661293</v>
      </c>
      <c r="C1609" s="17">
        <f>IF(AND(問題解答データベース!D1609&gt;=小テスト!$C$6,D1609&lt;=小テスト!$E$6),1,0)</f>
        <v>1</v>
      </c>
      <c r="D1609" s="44">
        <f t="shared" si="73"/>
        <v>1608</v>
      </c>
      <c r="E1609" s="45" t="s">
        <v>1772</v>
      </c>
      <c r="F1609" s="46" t="s">
        <v>3520</v>
      </c>
    </row>
    <row r="1610" spans="1:6" ht="17">
      <c r="A1610" s="15">
        <f t="shared" ca="1" si="74"/>
        <v>1496</v>
      </c>
      <c r="B1610" s="16">
        <f t="shared" ref="B1610:B1673" ca="1" si="75">IF(C1610=1,RAND(),0)</f>
        <v>0.20367567342439363</v>
      </c>
      <c r="C1610" s="17">
        <f>IF(AND(問題解答データベース!D1610&gt;=小テスト!$C$6,D1610&lt;=小テスト!$E$6),1,0)</f>
        <v>1</v>
      </c>
      <c r="D1610" s="44">
        <f t="shared" si="73"/>
        <v>1609</v>
      </c>
      <c r="E1610" s="45" t="s">
        <v>1773</v>
      </c>
      <c r="F1610" s="46" t="s">
        <v>3521</v>
      </c>
    </row>
    <row r="1611" spans="1:6" ht="17">
      <c r="A1611" s="15">
        <f t="shared" ca="1" si="74"/>
        <v>1588</v>
      </c>
      <c r="B1611" s="16">
        <f t="shared" ca="1" si="75"/>
        <v>0.16066644755256609</v>
      </c>
      <c r="C1611" s="17">
        <f>IF(AND(問題解答データベース!D1611&gt;=小テスト!$C$6,D1611&lt;=小テスト!$E$6),1,0)</f>
        <v>1</v>
      </c>
      <c r="D1611" s="44">
        <f t="shared" si="73"/>
        <v>1610</v>
      </c>
      <c r="E1611" s="45" t="s">
        <v>1774</v>
      </c>
      <c r="F1611" s="46" t="s">
        <v>3522</v>
      </c>
    </row>
    <row r="1612" spans="1:6" ht="17">
      <c r="A1612" s="15">
        <f t="shared" ca="1" si="74"/>
        <v>1536</v>
      </c>
      <c r="B1612" s="16">
        <f t="shared" ca="1" si="75"/>
        <v>0.18583385688477716</v>
      </c>
      <c r="C1612" s="17">
        <f>IF(AND(問題解答データベース!D1612&gt;=小テスト!$C$6,D1612&lt;=小テスト!$E$6),1,0)</f>
        <v>1</v>
      </c>
      <c r="D1612" s="44">
        <f t="shared" si="73"/>
        <v>1611</v>
      </c>
      <c r="E1612" s="45" t="s">
        <v>1775</v>
      </c>
      <c r="F1612" s="46" t="s">
        <v>3523</v>
      </c>
    </row>
    <row r="1613" spans="1:6" ht="17">
      <c r="A1613" s="15">
        <f t="shared" ca="1" si="74"/>
        <v>3</v>
      </c>
      <c r="B1613" s="16">
        <f t="shared" ca="1" si="75"/>
        <v>0.99838325907671488</v>
      </c>
      <c r="C1613" s="17">
        <f>IF(AND(問題解答データベース!D1613&gt;=小テスト!$C$6,D1613&lt;=小テスト!$E$6),1,0)</f>
        <v>1</v>
      </c>
      <c r="D1613" s="44">
        <f t="shared" si="73"/>
        <v>1612</v>
      </c>
      <c r="E1613" s="45" t="s">
        <v>1776</v>
      </c>
      <c r="F1613" s="46" t="s">
        <v>3524</v>
      </c>
    </row>
    <row r="1614" spans="1:6" ht="17">
      <c r="A1614" s="15">
        <f t="shared" ca="1" si="74"/>
        <v>1745</v>
      </c>
      <c r="B1614" s="16">
        <f t="shared" ca="1" si="75"/>
        <v>7.7499550536029971E-2</v>
      </c>
      <c r="C1614" s="17">
        <f>IF(AND(問題解答データベース!D1614&gt;=小テスト!$C$6,D1614&lt;=小テスト!$E$6),1,0)</f>
        <v>1</v>
      </c>
      <c r="D1614" s="44">
        <f t="shared" si="73"/>
        <v>1613</v>
      </c>
      <c r="E1614" s="45" t="s">
        <v>1777</v>
      </c>
      <c r="F1614" s="46" t="s">
        <v>3525</v>
      </c>
    </row>
    <row r="1615" spans="1:6" ht="17">
      <c r="A1615" s="15">
        <f t="shared" ca="1" si="74"/>
        <v>489</v>
      </c>
      <c r="B1615" s="16">
        <f t="shared" ca="1" si="75"/>
        <v>0.7466136651131634</v>
      </c>
      <c r="C1615" s="17">
        <f>IF(AND(問題解答データベース!D1615&gt;=小テスト!$C$6,D1615&lt;=小テスト!$E$6),1,0)</f>
        <v>1</v>
      </c>
      <c r="D1615" s="44">
        <f t="shared" si="73"/>
        <v>1614</v>
      </c>
      <c r="E1615" s="45" t="s">
        <v>1778</v>
      </c>
      <c r="F1615" s="46" t="s">
        <v>3526</v>
      </c>
    </row>
    <row r="1616" spans="1:6" ht="17">
      <c r="A1616" s="15">
        <f t="shared" ca="1" si="74"/>
        <v>777</v>
      </c>
      <c r="B1616" s="16">
        <f t="shared" ca="1" si="75"/>
        <v>0.59054079886004474</v>
      </c>
      <c r="C1616" s="17">
        <f>IF(AND(問題解答データベース!D1616&gt;=小テスト!$C$6,D1616&lt;=小テスト!$E$6),1,0)</f>
        <v>1</v>
      </c>
      <c r="D1616" s="44">
        <f t="shared" si="73"/>
        <v>1615</v>
      </c>
      <c r="E1616" s="45" t="s">
        <v>1779</v>
      </c>
      <c r="F1616" s="46" t="s">
        <v>3527</v>
      </c>
    </row>
    <row r="1617" spans="1:6" ht="17">
      <c r="A1617" s="15">
        <f t="shared" ca="1" si="74"/>
        <v>1484</v>
      </c>
      <c r="B1617" s="16">
        <f t="shared" ca="1" si="75"/>
        <v>0.21233856181876121</v>
      </c>
      <c r="C1617" s="17">
        <f>IF(AND(問題解答データベース!D1617&gt;=小テスト!$C$6,D1617&lt;=小テスト!$E$6),1,0)</f>
        <v>1</v>
      </c>
      <c r="D1617" s="44">
        <f t="shared" si="73"/>
        <v>1616</v>
      </c>
      <c r="E1617" s="45" t="s">
        <v>1780</v>
      </c>
      <c r="F1617" s="46" t="s">
        <v>3528</v>
      </c>
    </row>
    <row r="1618" spans="1:6" ht="17">
      <c r="A1618" s="15">
        <f t="shared" ca="1" si="74"/>
        <v>857</v>
      </c>
      <c r="B1618" s="16">
        <f t="shared" ca="1" si="75"/>
        <v>0.54241678773542445</v>
      </c>
      <c r="C1618" s="17">
        <f>IF(AND(問題解答データベース!D1618&gt;=小テスト!$C$6,D1618&lt;=小テスト!$E$6),1,0)</f>
        <v>1</v>
      </c>
      <c r="D1618" s="44">
        <f t="shared" si="73"/>
        <v>1617</v>
      </c>
      <c r="E1618" s="45" t="s">
        <v>1781</v>
      </c>
      <c r="F1618" s="46" t="s">
        <v>3529</v>
      </c>
    </row>
    <row r="1619" spans="1:6" ht="17">
      <c r="A1619" s="15">
        <f t="shared" ca="1" si="74"/>
        <v>1691</v>
      </c>
      <c r="B1619" s="16">
        <f t="shared" ca="1" si="75"/>
        <v>0.1067525167536052</v>
      </c>
      <c r="C1619" s="17">
        <f>IF(AND(問題解答データベース!D1619&gt;=小テスト!$C$6,D1619&lt;=小テスト!$E$6),1,0)</f>
        <v>1</v>
      </c>
      <c r="D1619" s="44">
        <f t="shared" si="73"/>
        <v>1618</v>
      </c>
      <c r="E1619" s="45" t="s">
        <v>1782</v>
      </c>
      <c r="F1619" s="46" t="s">
        <v>3530</v>
      </c>
    </row>
    <row r="1620" spans="1:6" ht="17">
      <c r="A1620" s="15">
        <f t="shared" ca="1" si="74"/>
        <v>422</v>
      </c>
      <c r="B1620" s="16">
        <f t="shared" ca="1" si="75"/>
        <v>0.77501933514751842</v>
      </c>
      <c r="C1620" s="17">
        <f>IF(AND(問題解答データベース!D1620&gt;=小テスト!$C$6,D1620&lt;=小テスト!$E$6),1,0)</f>
        <v>1</v>
      </c>
      <c r="D1620" s="44">
        <f t="shared" si="73"/>
        <v>1619</v>
      </c>
      <c r="E1620" s="45" t="s">
        <v>1783</v>
      </c>
      <c r="F1620" s="46" t="s">
        <v>3531</v>
      </c>
    </row>
    <row r="1621" spans="1:6" ht="17">
      <c r="A1621" s="15">
        <f t="shared" ca="1" si="74"/>
        <v>1458</v>
      </c>
      <c r="B1621" s="16">
        <f t="shared" ca="1" si="75"/>
        <v>0.22816443582527324</v>
      </c>
      <c r="C1621" s="17">
        <f>IF(AND(問題解答データベース!D1621&gt;=小テスト!$C$6,D1621&lt;=小テスト!$E$6),1,0)</f>
        <v>1</v>
      </c>
      <c r="D1621" s="44">
        <f t="shared" si="73"/>
        <v>1620</v>
      </c>
      <c r="E1621" s="45" t="s">
        <v>1784</v>
      </c>
      <c r="F1621" s="46" t="s">
        <v>3532</v>
      </c>
    </row>
    <row r="1622" spans="1:6" ht="17">
      <c r="A1622" s="15">
        <f t="shared" ca="1" si="74"/>
        <v>1039</v>
      </c>
      <c r="B1622" s="16">
        <f t="shared" ca="1" si="75"/>
        <v>0.46194849838137109</v>
      </c>
      <c r="C1622" s="17">
        <f>IF(AND(問題解答データベース!D1622&gt;=小テスト!$C$6,D1622&lt;=小テスト!$E$6),1,0)</f>
        <v>1</v>
      </c>
      <c r="D1622" s="44">
        <f t="shared" si="73"/>
        <v>1621</v>
      </c>
      <c r="E1622" s="45" t="s">
        <v>1785</v>
      </c>
      <c r="F1622" s="46" t="s">
        <v>3533</v>
      </c>
    </row>
    <row r="1623" spans="1:6" ht="17">
      <c r="A1623" s="15">
        <f t="shared" ca="1" si="74"/>
        <v>1709</v>
      </c>
      <c r="B1623" s="16">
        <f t="shared" ca="1" si="75"/>
        <v>9.7287611647879912E-2</v>
      </c>
      <c r="C1623" s="17">
        <f>IF(AND(問題解答データベース!D1623&gt;=小テスト!$C$6,D1623&lt;=小テスト!$E$6),1,0)</f>
        <v>1</v>
      </c>
      <c r="D1623" s="44">
        <f t="shared" si="73"/>
        <v>1622</v>
      </c>
      <c r="E1623" s="45" t="s">
        <v>1786</v>
      </c>
      <c r="F1623" s="46" t="s">
        <v>3534</v>
      </c>
    </row>
    <row r="1624" spans="1:6" ht="17">
      <c r="A1624" s="15">
        <f t="shared" ca="1" si="74"/>
        <v>917</v>
      </c>
      <c r="B1624" s="16">
        <f t="shared" ca="1" si="75"/>
        <v>0.5153239328215069</v>
      </c>
      <c r="C1624" s="17">
        <f>IF(AND(問題解答データベース!D1624&gt;=小テスト!$C$6,D1624&lt;=小テスト!$E$6),1,0)</f>
        <v>1</v>
      </c>
      <c r="D1624" s="44">
        <f t="shared" si="73"/>
        <v>1623</v>
      </c>
      <c r="E1624" s="45" t="s">
        <v>1787</v>
      </c>
      <c r="F1624" s="46" t="s">
        <v>3535</v>
      </c>
    </row>
    <row r="1625" spans="1:6" ht="17">
      <c r="A1625" s="15">
        <f t="shared" ca="1" si="74"/>
        <v>79</v>
      </c>
      <c r="B1625" s="16">
        <f t="shared" ca="1" si="75"/>
        <v>0.96352496696058276</v>
      </c>
      <c r="C1625" s="17">
        <f>IF(AND(問題解答データベース!D1625&gt;=小テスト!$C$6,D1625&lt;=小テスト!$E$6),1,0)</f>
        <v>1</v>
      </c>
      <c r="D1625" s="44">
        <f t="shared" si="73"/>
        <v>1624</v>
      </c>
      <c r="E1625" s="45" t="s">
        <v>1788</v>
      </c>
      <c r="F1625" s="46" t="s">
        <v>3536</v>
      </c>
    </row>
    <row r="1626" spans="1:6" ht="17">
      <c r="A1626" s="15">
        <f t="shared" ca="1" si="74"/>
        <v>542</v>
      </c>
      <c r="B1626" s="16">
        <f t="shared" ca="1" si="75"/>
        <v>0.71760424348731544</v>
      </c>
      <c r="C1626" s="17">
        <f>IF(AND(問題解答データベース!D1626&gt;=小テスト!$C$6,D1626&lt;=小テスト!$E$6),1,0)</f>
        <v>1</v>
      </c>
      <c r="D1626" s="44">
        <f t="shared" si="73"/>
        <v>1625</v>
      </c>
      <c r="E1626" s="45" t="s">
        <v>1789</v>
      </c>
      <c r="F1626" s="46" t="s">
        <v>3537</v>
      </c>
    </row>
    <row r="1627" spans="1:6" ht="17">
      <c r="A1627" s="15">
        <f t="shared" ca="1" si="74"/>
        <v>1002</v>
      </c>
      <c r="B1627" s="16">
        <f t="shared" ca="1" si="75"/>
        <v>0.47730078622937333</v>
      </c>
      <c r="C1627" s="17">
        <f>IF(AND(問題解答データベース!D1627&gt;=小テスト!$C$6,D1627&lt;=小テスト!$E$6),1,0)</f>
        <v>1</v>
      </c>
      <c r="D1627" s="44">
        <f t="shared" si="73"/>
        <v>1626</v>
      </c>
      <c r="E1627" s="45" t="s">
        <v>1790</v>
      </c>
      <c r="F1627" s="46" t="s">
        <v>3538</v>
      </c>
    </row>
    <row r="1628" spans="1:6" ht="17">
      <c r="A1628" s="15">
        <f t="shared" ca="1" si="74"/>
        <v>1761</v>
      </c>
      <c r="B1628" s="16">
        <f t="shared" ca="1" si="75"/>
        <v>6.7745299406700155E-2</v>
      </c>
      <c r="C1628" s="17">
        <f>IF(AND(問題解答データベース!D1628&gt;=小テスト!$C$6,D1628&lt;=小テスト!$E$6),1,0)</f>
        <v>1</v>
      </c>
      <c r="D1628" s="44">
        <f t="shared" ref="D1628:D1691" si="76">D1627+1</f>
        <v>1627</v>
      </c>
      <c r="E1628" s="45" t="s">
        <v>1791</v>
      </c>
      <c r="F1628" s="46" t="s">
        <v>3539</v>
      </c>
    </row>
    <row r="1629" spans="1:6" ht="17">
      <c r="A1629" s="15">
        <f t="shared" ca="1" si="74"/>
        <v>1442</v>
      </c>
      <c r="B1629" s="16">
        <f t="shared" ca="1" si="75"/>
        <v>0.24229375523666818</v>
      </c>
      <c r="C1629" s="17">
        <f>IF(AND(問題解答データベース!D1629&gt;=小テスト!$C$6,D1629&lt;=小テスト!$E$6),1,0)</f>
        <v>1</v>
      </c>
      <c r="D1629" s="44">
        <f t="shared" si="76"/>
        <v>1628</v>
      </c>
      <c r="E1629" s="45" t="s">
        <v>1792</v>
      </c>
      <c r="F1629" s="46" t="s">
        <v>3540</v>
      </c>
    </row>
    <row r="1630" spans="1:6" ht="17">
      <c r="A1630" s="15">
        <f t="shared" ca="1" si="74"/>
        <v>515</v>
      </c>
      <c r="B1630" s="16">
        <f t="shared" ca="1" si="75"/>
        <v>0.73428823088335959</v>
      </c>
      <c r="C1630" s="17">
        <f>IF(AND(問題解答データベース!D1630&gt;=小テスト!$C$6,D1630&lt;=小テスト!$E$6),1,0)</f>
        <v>1</v>
      </c>
      <c r="D1630" s="44">
        <f t="shared" si="76"/>
        <v>1629</v>
      </c>
      <c r="E1630" s="45" t="s">
        <v>1793</v>
      </c>
      <c r="F1630" s="46" t="s">
        <v>3541</v>
      </c>
    </row>
    <row r="1631" spans="1:6" ht="17">
      <c r="A1631" s="15">
        <f t="shared" ca="1" si="74"/>
        <v>1640</v>
      </c>
      <c r="B1631" s="16">
        <f t="shared" ca="1" si="75"/>
        <v>0.13285982987867273</v>
      </c>
      <c r="C1631" s="17">
        <f>IF(AND(問題解答データベース!D1631&gt;=小テスト!$C$6,D1631&lt;=小テスト!$E$6),1,0)</f>
        <v>1</v>
      </c>
      <c r="D1631" s="44">
        <f t="shared" si="76"/>
        <v>1630</v>
      </c>
      <c r="E1631" s="45" t="s">
        <v>1794</v>
      </c>
      <c r="F1631" s="46" t="s">
        <v>3542</v>
      </c>
    </row>
    <row r="1632" spans="1:6" ht="17">
      <c r="A1632" s="15">
        <f t="shared" ca="1" si="74"/>
        <v>1286</v>
      </c>
      <c r="B1632" s="16">
        <f t="shared" ca="1" si="75"/>
        <v>0.32902452484484379</v>
      </c>
      <c r="C1632" s="17">
        <f>IF(AND(問題解答データベース!D1632&gt;=小テスト!$C$6,D1632&lt;=小テスト!$E$6),1,0)</f>
        <v>1</v>
      </c>
      <c r="D1632" s="44">
        <f t="shared" si="76"/>
        <v>1631</v>
      </c>
      <c r="E1632" s="45" t="s">
        <v>1795</v>
      </c>
      <c r="F1632" s="46" t="s">
        <v>3543</v>
      </c>
    </row>
    <row r="1633" spans="1:6" ht="17">
      <c r="A1633" s="15">
        <f t="shared" ca="1" si="74"/>
        <v>226</v>
      </c>
      <c r="B1633" s="16">
        <f t="shared" ca="1" si="75"/>
        <v>0.88563018999843346</v>
      </c>
      <c r="C1633" s="17">
        <f>IF(AND(問題解答データベース!D1633&gt;=小テスト!$C$6,D1633&lt;=小テスト!$E$6),1,0)</f>
        <v>1</v>
      </c>
      <c r="D1633" s="44">
        <f t="shared" si="76"/>
        <v>1632</v>
      </c>
      <c r="E1633" s="45" t="s">
        <v>1796</v>
      </c>
      <c r="F1633" s="46" t="s">
        <v>3544</v>
      </c>
    </row>
    <row r="1634" spans="1:6" ht="17">
      <c r="A1634" s="15">
        <f t="shared" ca="1" si="74"/>
        <v>30</v>
      </c>
      <c r="B1634" s="16">
        <f t="shared" ca="1" si="75"/>
        <v>0.98281912998717968</v>
      </c>
      <c r="C1634" s="17">
        <f>IF(AND(問題解答データベース!D1634&gt;=小テスト!$C$6,D1634&lt;=小テスト!$E$6),1,0)</f>
        <v>1</v>
      </c>
      <c r="D1634" s="44">
        <f t="shared" si="76"/>
        <v>1633</v>
      </c>
      <c r="E1634" s="45" t="s">
        <v>1797</v>
      </c>
      <c r="F1634" s="46" t="s">
        <v>3545</v>
      </c>
    </row>
    <row r="1635" spans="1:6" ht="17">
      <c r="A1635" s="15">
        <f t="shared" ca="1" si="74"/>
        <v>561</v>
      </c>
      <c r="B1635" s="16">
        <f t="shared" ca="1" si="75"/>
        <v>0.70776190654083981</v>
      </c>
      <c r="C1635" s="17">
        <f>IF(AND(問題解答データベース!D1635&gt;=小テスト!$C$6,D1635&lt;=小テスト!$E$6),1,0)</f>
        <v>1</v>
      </c>
      <c r="D1635" s="44">
        <f t="shared" si="76"/>
        <v>1634</v>
      </c>
      <c r="E1635" s="45" t="s">
        <v>1798</v>
      </c>
      <c r="F1635" s="46" t="s">
        <v>3546</v>
      </c>
    </row>
    <row r="1636" spans="1:6" ht="17">
      <c r="A1636" s="15">
        <f t="shared" ca="1" si="74"/>
        <v>1721</v>
      </c>
      <c r="B1636" s="16">
        <f t="shared" ca="1" si="75"/>
        <v>8.8731933138648023E-2</v>
      </c>
      <c r="C1636" s="17">
        <f>IF(AND(問題解答データベース!D1636&gt;=小テスト!$C$6,D1636&lt;=小テスト!$E$6),1,0)</f>
        <v>1</v>
      </c>
      <c r="D1636" s="44">
        <f t="shared" si="76"/>
        <v>1635</v>
      </c>
      <c r="E1636" s="45" t="s">
        <v>1799</v>
      </c>
      <c r="F1636" s="46" t="s">
        <v>3547</v>
      </c>
    </row>
    <row r="1637" spans="1:6" ht="17">
      <c r="A1637" s="15">
        <f t="shared" ca="1" si="74"/>
        <v>1204</v>
      </c>
      <c r="B1637" s="16">
        <f t="shared" ca="1" si="75"/>
        <v>0.36612638538156295</v>
      </c>
      <c r="C1637" s="17">
        <f>IF(AND(問題解答データベース!D1637&gt;=小テスト!$C$6,D1637&lt;=小テスト!$E$6),1,0)</f>
        <v>1</v>
      </c>
      <c r="D1637" s="44">
        <f t="shared" si="76"/>
        <v>1636</v>
      </c>
      <c r="E1637" s="45" t="s">
        <v>1800</v>
      </c>
      <c r="F1637" s="46" t="s">
        <v>3548</v>
      </c>
    </row>
    <row r="1638" spans="1:6" ht="17">
      <c r="A1638" s="15">
        <f t="shared" ca="1" si="74"/>
        <v>291</v>
      </c>
      <c r="B1638" s="16">
        <f t="shared" ca="1" si="75"/>
        <v>0.84962679164060739</v>
      </c>
      <c r="C1638" s="17">
        <f>IF(AND(問題解答データベース!D1638&gt;=小テスト!$C$6,D1638&lt;=小テスト!$E$6),1,0)</f>
        <v>1</v>
      </c>
      <c r="D1638" s="44">
        <f t="shared" si="76"/>
        <v>1637</v>
      </c>
      <c r="E1638" s="45" t="s">
        <v>1801</v>
      </c>
      <c r="F1638" s="46" t="s">
        <v>3549</v>
      </c>
    </row>
    <row r="1639" spans="1:6" ht="17">
      <c r="A1639" s="15">
        <f t="shared" ca="1" si="74"/>
        <v>296</v>
      </c>
      <c r="B1639" s="16">
        <f t="shared" ca="1" si="75"/>
        <v>0.84645543334427076</v>
      </c>
      <c r="C1639" s="17">
        <f>IF(AND(問題解答データベース!D1639&gt;=小テスト!$C$6,D1639&lt;=小テスト!$E$6),1,0)</f>
        <v>1</v>
      </c>
      <c r="D1639" s="44">
        <f t="shared" si="76"/>
        <v>1638</v>
      </c>
      <c r="E1639" s="45" t="s">
        <v>1802</v>
      </c>
      <c r="F1639" s="46" t="s">
        <v>3550</v>
      </c>
    </row>
    <row r="1640" spans="1:6" ht="17">
      <c r="A1640" s="15">
        <f t="shared" ca="1" si="74"/>
        <v>1452</v>
      </c>
      <c r="B1640" s="16">
        <f t="shared" ca="1" si="75"/>
        <v>0.23414591437829602</v>
      </c>
      <c r="C1640" s="17">
        <f>IF(AND(問題解答データベース!D1640&gt;=小テスト!$C$6,D1640&lt;=小テスト!$E$6),1,0)</f>
        <v>1</v>
      </c>
      <c r="D1640" s="44">
        <f t="shared" si="76"/>
        <v>1639</v>
      </c>
      <c r="E1640" s="45" t="s">
        <v>1803</v>
      </c>
      <c r="F1640" s="46" t="s">
        <v>3551</v>
      </c>
    </row>
    <row r="1641" spans="1:6" ht="17">
      <c r="A1641" s="15">
        <f t="shared" ca="1" si="74"/>
        <v>852</v>
      </c>
      <c r="B1641" s="16">
        <f t="shared" ca="1" si="75"/>
        <v>0.54584530709863632</v>
      </c>
      <c r="C1641" s="17">
        <f>IF(AND(問題解答データベース!D1641&gt;=小テスト!$C$6,D1641&lt;=小テスト!$E$6),1,0)</f>
        <v>1</v>
      </c>
      <c r="D1641" s="44">
        <f t="shared" si="76"/>
        <v>1640</v>
      </c>
      <c r="E1641" s="45" t="s">
        <v>1804</v>
      </c>
      <c r="F1641" s="46" t="s">
        <v>3552</v>
      </c>
    </row>
    <row r="1642" spans="1:6" ht="17">
      <c r="A1642" s="15">
        <f t="shared" ca="1" si="74"/>
        <v>1729</v>
      </c>
      <c r="B1642" s="16">
        <f t="shared" ca="1" si="75"/>
        <v>8.5137430254513369E-2</v>
      </c>
      <c r="C1642" s="17">
        <f>IF(AND(問題解答データベース!D1642&gt;=小テスト!$C$6,D1642&lt;=小テスト!$E$6),1,0)</f>
        <v>1</v>
      </c>
      <c r="D1642" s="44">
        <f t="shared" si="76"/>
        <v>1641</v>
      </c>
      <c r="E1642" s="45" t="s">
        <v>1805</v>
      </c>
      <c r="F1642" s="46" t="s">
        <v>3553</v>
      </c>
    </row>
    <row r="1643" spans="1:6" ht="17">
      <c r="A1643" s="15">
        <f t="shared" ca="1" si="74"/>
        <v>68</v>
      </c>
      <c r="B1643" s="16">
        <f t="shared" ca="1" si="75"/>
        <v>0.96614046581554758</v>
      </c>
      <c r="C1643" s="17">
        <f>IF(AND(問題解答データベース!D1643&gt;=小テスト!$C$6,D1643&lt;=小テスト!$E$6),1,0)</f>
        <v>1</v>
      </c>
      <c r="D1643" s="44">
        <f t="shared" si="76"/>
        <v>1642</v>
      </c>
      <c r="E1643" s="45" t="s">
        <v>1806</v>
      </c>
      <c r="F1643" s="46" t="s">
        <v>3554</v>
      </c>
    </row>
    <row r="1644" spans="1:6" ht="17">
      <c r="A1644" s="15">
        <f t="shared" ca="1" si="74"/>
        <v>1212</v>
      </c>
      <c r="B1644" s="16">
        <f t="shared" ca="1" si="75"/>
        <v>0.36456938732098521</v>
      </c>
      <c r="C1644" s="17">
        <f>IF(AND(問題解答データベース!D1644&gt;=小テスト!$C$6,D1644&lt;=小テスト!$E$6),1,0)</f>
        <v>1</v>
      </c>
      <c r="D1644" s="44">
        <f t="shared" si="76"/>
        <v>1643</v>
      </c>
      <c r="E1644" s="45" t="s">
        <v>1807</v>
      </c>
      <c r="F1644" s="46" t="s">
        <v>3555</v>
      </c>
    </row>
    <row r="1645" spans="1:6" ht="17">
      <c r="A1645" s="15">
        <f t="shared" ca="1" si="74"/>
        <v>676</v>
      </c>
      <c r="B1645" s="16">
        <f t="shared" ca="1" si="75"/>
        <v>0.64603576245956262</v>
      </c>
      <c r="C1645" s="17">
        <f>IF(AND(問題解答データベース!D1645&gt;=小テスト!$C$6,D1645&lt;=小テスト!$E$6),1,0)</f>
        <v>1</v>
      </c>
      <c r="D1645" s="44">
        <f t="shared" si="76"/>
        <v>1644</v>
      </c>
      <c r="E1645" s="45" t="s">
        <v>1808</v>
      </c>
      <c r="F1645" s="46" t="s">
        <v>3556</v>
      </c>
    </row>
    <row r="1646" spans="1:6" ht="17">
      <c r="A1646" s="15">
        <f t="shared" ca="1" si="74"/>
        <v>106</v>
      </c>
      <c r="B1646" s="16">
        <f t="shared" ca="1" si="75"/>
        <v>0.95051489287998558</v>
      </c>
      <c r="C1646" s="17">
        <f>IF(AND(問題解答データベース!D1646&gt;=小テスト!$C$6,D1646&lt;=小テスト!$E$6),1,0)</f>
        <v>1</v>
      </c>
      <c r="D1646" s="44">
        <f t="shared" si="76"/>
        <v>1645</v>
      </c>
      <c r="E1646" s="45" t="s">
        <v>1809</v>
      </c>
      <c r="F1646" s="46" t="s">
        <v>3557</v>
      </c>
    </row>
    <row r="1647" spans="1:6" ht="17">
      <c r="A1647" s="15">
        <f t="shared" ca="1" si="74"/>
        <v>1372</v>
      </c>
      <c r="B1647" s="16">
        <f t="shared" ca="1" si="75"/>
        <v>0.2792337702671509</v>
      </c>
      <c r="C1647" s="17">
        <f>IF(AND(問題解答データベース!D1647&gt;=小テスト!$C$6,D1647&lt;=小テスト!$E$6),1,0)</f>
        <v>1</v>
      </c>
      <c r="D1647" s="44">
        <f t="shared" si="76"/>
        <v>1646</v>
      </c>
      <c r="E1647" s="45" t="s">
        <v>1810</v>
      </c>
      <c r="F1647" s="46" t="s">
        <v>3558</v>
      </c>
    </row>
    <row r="1648" spans="1:6" ht="17">
      <c r="A1648" s="15">
        <f t="shared" ca="1" si="74"/>
        <v>459</v>
      </c>
      <c r="B1648" s="16">
        <f t="shared" ca="1" si="75"/>
        <v>0.76123429941654952</v>
      </c>
      <c r="C1648" s="17">
        <f>IF(AND(問題解答データベース!D1648&gt;=小テスト!$C$6,D1648&lt;=小テスト!$E$6),1,0)</f>
        <v>1</v>
      </c>
      <c r="D1648" s="44">
        <f t="shared" si="76"/>
        <v>1647</v>
      </c>
      <c r="E1648" s="45" t="s">
        <v>1811</v>
      </c>
      <c r="F1648" s="46" t="s">
        <v>3559</v>
      </c>
    </row>
    <row r="1649" spans="1:6" ht="17">
      <c r="A1649" s="15">
        <f t="shared" ca="1" si="74"/>
        <v>1587</v>
      </c>
      <c r="B1649" s="16">
        <f t="shared" ca="1" si="75"/>
        <v>0.16190935720385213</v>
      </c>
      <c r="C1649" s="17">
        <f>IF(AND(問題解答データベース!D1649&gt;=小テスト!$C$6,D1649&lt;=小テスト!$E$6),1,0)</f>
        <v>1</v>
      </c>
      <c r="D1649" s="44">
        <f t="shared" si="76"/>
        <v>1648</v>
      </c>
      <c r="E1649" s="45" t="s">
        <v>1812</v>
      </c>
      <c r="F1649" s="46" t="s">
        <v>3560</v>
      </c>
    </row>
    <row r="1650" spans="1:6" ht="17">
      <c r="A1650" s="15">
        <f t="shared" ca="1" si="74"/>
        <v>1830</v>
      </c>
      <c r="B1650" s="16">
        <f t="shared" ca="1" si="75"/>
        <v>3.4759236361968981E-2</v>
      </c>
      <c r="C1650" s="17">
        <f>IF(AND(問題解答データベース!D1650&gt;=小テスト!$C$6,D1650&lt;=小テスト!$E$6),1,0)</f>
        <v>1</v>
      </c>
      <c r="D1650" s="44">
        <f t="shared" si="76"/>
        <v>1649</v>
      </c>
      <c r="E1650" s="45" t="s">
        <v>1813</v>
      </c>
      <c r="F1650" s="46" t="s">
        <v>3561</v>
      </c>
    </row>
    <row r="1651" spans="1:6" ht="17">
      <c r="A1651" s="15">
        <f t="shared" ca="1" si="74"/>
        <v>584</v>
      </c>
      <c r="B1651" s="16">
        <f t="shared" ca="1" si="75"/>
        <v>0.6943796157428771</v>
      </c>
      <c r="C1651" s="17">
        <f>IF(AND(問題解答データベース!D1651&gt;=小テスト!$C$6,D1651&lt;=小テスト!$E$6),1,0)</f>
        <v>1</v>
      </c>
      <c r="D1651" s="44">
        <f t="shared" si="76"/>
        <v>1650</v>
      </c>
      <c r="E1651" s="45" t="s">
        <v>1814</v>
      </c>
      <c r="F1651" s="46" t="s">
        <v>3562</v>
      </c>
    </row>
    <row r="1652" spans="1:6" ht="17">
      <c r="A1652" s="15">
        <f t="shared" ca="1" si="74"/>
        <v>529</v>
      </c>
      <c r="B1652" s="16">
        <f t="shared" ca="1" si="75"/>
        <v>0.72582049015856609</v>
      </c>
      <c r="C1652" s="17">
        <f>IF(AND(問題解答データベース!D1652&gt;=小テスト!$C$6,D1652&lt;=小テスト!$E$6),1,0)</f>
        <v>1</v>
      </c>
      <c r="D1652" s="44">
        <f t="shared" si="76"/>
        <v>1651</v>
      </c>
      <c r="E1652" s="45" t="s">
        <v>1815</v>
      </c>
      <c r="F1652" s="46" t="s">
        <v>3563</v>
      </c>
    </row>
    <row r="1653" spans="1:6" ht="17">
      <c r="A1653" s="15">
        <f t="shared" ca="1" si="74"/>
        <v>1187</v>
      </c>
      <c r="B1653" s="16">
        <f t="shared" ca="1" si="75"/>
        <v>0.37289259097462635</v>
      </c>
      <c r="C1653" s="17">
        <f>IF(AND(問題解答データベース!D1653&gt;=小テスト!$C$6,D1653&lt;=小テスト!$E$6),1,0)</f>
        <v>1</v>
      </c>
      <c r="D1653" s="44">
        <f t="shared" si="76"/>
        <v>1652</v>
      </c>
      <c r="E1653" s="45" t="s">
        <v>1816</v>
      </c>
      <c r="F1653" s="46" t="s">
        <v>3564</v>
      </c>
    </row>
    <row r="1654" spans="1:6" ht="17">
      <c r="A1654" s="15">
        <f t="shared" ca="1" si="74"/>
        <v>1579</v>
      </c>
      <c r="B1654" s="16">
        <f t="shared" ca="1" si="75"/>
        <v>0.16577993033870642</v>
      </c>
      <c r="C1654" s="17">
        <f>IF(AND(問題解答データベース!D1654&gt;=小テスト!$C$6,D1654&lt;=小テスト!$E$6),1,0)</f>
        <v>1</v>
      </c>
      <c r="D1654" s="44">
        <f t="shared" si="76"/>
        <v>1653</v>
      </c>
      <c r="E1654" s="45" t="s">
        <v>1817</v>
      </c>
      <c r="F1654" s="46" t="s">
        <v>3565</v>
      </c>
    </row>
    <row r="1655" spans="1:6" ht="17">
      <c r="A1655" s="15">
        <f t="shared" ca="1" si="74"/>
        <v>1406</v>
      </c>
      <c r="B1655" s="16">
        <f t="shared" ca="1" si="75"/>
        <v>0.26262274167508193</v>
      </c>
      <c r="C1655" s="17">
        <f>IF(AND(問題解答データベース!D1655&gt;=小テスト!$C$6,D1655&lt;=小テスト!$E$6),1,0)</f>
        <v>1</v>
      </c>
      <c r="D1655" s="44">
        <f t="shared" si="76"/>
        <v>1654</v>
      </c>
      <c r="E1655" s="45" t="s">
        <v>1818</v>
      </c>
      <c r="F1655" s="46" t="s">
        <v>3566</v>
      </c>
    </row>
    <row r="1656" spans="1:6" ht="17">
      <c r="A1656" s="15">
        <f t="shared" ca="1" si="74"/>
        <v>1023</v>
      </c>
      <c r="B1656" s="16">
        <f t="shared" ca="1" si="75"/>
        <v>0.47012432933588266</v>
      </c>
      <c r="C1656" s="17">
        <f>IF(AND(問題解答データベース!D1656&gt;=小テスト!$C$6,D1656&lt;=小テスト!$E$6),1,0)</f>
        <v>1</v>
      </c>
      <c r="D1656" s="44">
        <f t="shared" si="76"/>
        <v>1655</v>
      </c>
      <c r="E1656" s="45" t="s">
        <v>1819</v>
      </c>
      <c r="F1656" s="46" t="s">
        <v>3567</v>
      </c>
    </row>
    <row r="1657" spans="1:6" ht="17">
      <c r="A1657" s="15">
        <f t="shared" ca="1" si="74"/>
        <v>1226</v>
      </c>
      <c r="B1657" s="16">
        <f t="shared" ca="1" si="75"/>
        <v>0.36197679863509025</v>
      </c>
      <c r="C1657" s="17">
        <f>IF(AND(問題解答データベース!D1657&gt;=小テスト!$C$6,D1657&lt;=小テスト!$E$6),1,0)</f>
        <v>1</v>
      </c>
      <c r="D1657" s="44">
        <f t="shared" si="76"/>
        <v>1656</v>
      </c>
      <c r="E1657" s="45" t="s">
        <v>1820</v>
      </c>
      <c r="F1657" s="46" t="s">
        <v>3568</v>
      </c>
    </row>
    <row r="1658" spans="1:6" ht="17">
      <c r="A1658" s="15">
        <f t="shared" ca="1" si="74"/>
        <v>959</v>
      </c>
      <c r="B1658" s="16">
        <f t="shared" ca="1" si="75"/>
        <v>0.49462177477550884</v>
      </c>
      <c r="C1658" s="17">
        <f>IF(AND(問題解答データベース!D1658&gt;=小テスト!$C$6,D1658&lt;=小テスト!$E$6),1,0)</f>
        <v>1</v>
      </c>
      <c r="D1658" s="44">
        <f t="shared" si="76"/>
        <v>1657</v>
      </c>
      <c r="E1658" s="45" t="s">
        <v>1821</v>
      </c>
      <c r="F1658" s="46" t="s">
        <v>3569</v>
      </c>
    </row>
    <row r="1659" spans="1:6" ht="17">
      <c r="A1659" s="15">
        <f t="shared" ca="1" si="74"/>
        <v>552</v>
      </c>
      <c r="B1659" s="16">
        <f t="shared" ca="1" si="75"/>
        <v>0.71256498138293423</v>
      </c>
      <c r="C1659" s="17">
        <f>IF(AND(問題解答データベース!D1659&gt;=小テスト!$C$6,D1659&lt;=小テスト!$E$6),1,0)</f>
        <v>1</v>
      </c>
      <c r="D1659" s="44">
        <f t="shared" si="76"/>
        <v>1658</v>
      </c>
      <c r="E1659" s="45" t="s">
        <v>1822</v>
      </c>
      <c r="F1659" s="46" t="s">
        <v>3570</v>
      </c>
    </row>
    <row r="1660" spans="1:6" ht="17">
      <c r="A1660" s="15">
        <f t="shared" ca="1" si="74"/>
        <v>2</v>
      </c>
      <c r="B1660" s="16">
        <f t="shared" ca="1" si="75"/>
        <v>0.99849855663522902</v>
      </c>
      <c r="C1660" s="17">
        <f>IF(AND(問題解答データベース!D1660&gt;=小テスト!$C$6,D1660&lt;=小テスト!$E$6),1,0)</f>
        <v>1</v>
      </c>
      <c r="D1660" s="44">
        <f t="shared" si="76"/>
        <v>1659</v>
      </c>
      <c r="E1660" s="45" t="s">
        <v>1823</v>
      </c>
      <c r="F1660" s="46" t="s">
        <v>2656</v>
      </c>
    </row>
    <row r="1661" spans="1:6" ht="17">
      <c r="A1661" s="15">
        <f t="shared" ca="1" si="74"/>
        <v>1127</v>
      </c>
      <c r="B1661" s="16">
        <f t="shared" ca="1" si="75"/>
        <v>0.40969999229704401</v>
      </c>
      <c r="C1661" s="17">
        <f>IF(AND(問題解答データベース!D1661&gt;=小テスト!$C$6,D1661&lt;=小テスト!$E$6),1,0)</f>
        <v>1</v>
      </c>
      <c r="D1661" s="44">
        <f t="shared" si="76"/>
        <v>1660</v>
      </c>
      <c r="E1661" s="45" t="s">
        <v>1824</v>
      </c>
      <c r="F1661" s="46" t="s">
        <v>3571</v>
      </c>
    </row>
    <row r="1662" spans="1:6" ht="17">
      <c r="A1662" s="15">
        <f t="shared" ca="1" si="74"/>
        <v>1310</v>
      </c>
      <c r="B1662" s="16">
        <f t="shared" ca="1" si="75"/>
        <v>0.31408091939091243</v>
      </c>
      <c r="C1662" s="17">
        <f>IF(AND(問題解答データベース!D1662&gt;=小テスト!$C$6,D1662&lt;=小テスト!$E$6),1,0)</f>
        <v>1</v>
      </c>
      <c r="D1662" s="44">
        <f t="shared" si="76"/>
        <v>1661</v>
      </c>
      <c r="E1662" s="45" t="s">
        <v>1825</v>
      </c>
      <c r="F1662" s="46" t="s">
        <v>3572</v>
      </c>
    </row>
    <row r="1663" spans="1:6" ht="17">
      <c r="A1663" s="15">
        <f t="shared" ca="1" si="74"/>
        <v>1471</v>
      </c>
      <c r="B1663" s="16">
        <f t="shared" ca="1" si="75"/>
        <v>0.2223885159366773</v>
      </c>
      <c r="C1663" s="17">
        <f>IF(AND(問題解答データベース!D1663&gt;=小テスト!$C$6,D1663&lt;=小テスト!$E$6),1,0)</f>
        <v>1</v>
      </c>
      <c r="D1663" s="44">
        <f t="shared" si="76"/>
        <v>1662</v>
      </c>
      <c r="E1663" s="45" t="s">
        <v>1826</v>
      </c>
      <c r="F1663" s="46" t="s">
        <v>3573</v>
      </c>
    </row>
    <row r="1664" spans="1:6" ht="17">
      <c r="A1664" s="15">
        <f t="shared" ca="1" si="74"/>
        <v>580</v>
      </c>
      <c r="B1664" s="16">
        <f t="shared" ca="1" si="75"/>
        <v>0.69786196718012583</v>
      </c>
      <c r="C1664" s="17">
        <f>IF(AND(問題解答データベース!D1664&gt;=小テスト!$C$6,D1664&lt;=小テスト!$E$6),1,0)</f>
        <v>1</v>
      </c>
      <c r="D1664" s="44">
        <f t="shared" si="76"/>
        <v>1663</v>
      </c>
      <c r="E1664" s="45" t="s">
        <v>1827</v>
      </c>
      <c r="F1664" s="46" t="s">
        <v>3574</v>
      </c>
    </row>
    <row r="1665" spans="1:6" ht="17">
      <c r="A1665" s="15">
        <f t="shared" ca="1" si="74"/>
        <v>164</v>
      </c>
      <c r="B1665" s="16">
        <f t="shared" ca="1" si="75"/>
        <v>0.91996523403838248</v>
      </c>
      <c r="C1665" s="17">
        <f>IF(AND(問題解答データベース!D1665&gt;=小テスト!$C$6,D1665&lt;=小テスト!$E$6),1,0)</f>
        <v>1</v>
      </c>
      <c r="D1665" s="44">
        <f t="shared" si="76"/>
        <v>1664</v>
      </c>
      <c r="E1665" s="45" t="s">
        <v>1828</v>
      </c>
      <c r="F1665" s="46" t="s">
        <v>3575</v>
      </c>
    </row>
    <row r="1666" spans="1:6" ht="17">
      <c r="A1666" s="15">
        <f t="shared" ca="1" si="74"/>
        <v>1532</v>
      </c>
      <c r="B1666" s="16">
        <f t="shared" ca="1" si="75"/>
        <v>0.18673075176880294</v>
      </c>
      <c r="C1666" s="17">
        <f>IF(AND(問題解答データベース!D1666&gt;=小テスト!$C$6,D1666&lt;=小テスト!$E$6),1,0)</f>
        <v>1</v>
      </c>
      <c r="D1666" s="44">
        <f t="shared" si="76"/>
        <v>1665</v>
      </c>
      <c r="E1666" s="45" t="s">
        <v>1829</v>
      </c>
      <c r="F1666" s="46" t="s">
        <v>3576</v>
      </c>
    </row>
    <row r="1667" spans="1:6" ht="17">
      <c r="A1667" s="15">
        <f t="shared" ref="A1667:A1730" ca="1" si="77">RANK(B1667,$B$2:$B$1901,0)</f>
        <v>582</v>
      </c>
      <c r="B1667" s="16">
        <f t="shared" ca="1" si="75"/>
        <v>0.69481120443677624</v>
      </c>
      <c r="C1667" s="17">
        <f>IF(AND(問題解答データベース!D1667&gt;=小テスト!$C$6,D1667&lt;=小テスト!$E$6),1,0)</f>
        <v>1</v>
      </c>
      <c r="D1667" s="44">
        <f t="shared" si="76"/>
        <v>1666</v>
      </c>
      <c r="E1667" s="45" t="s">
        <v>1830</v>
      </c>
      <c r="F1667" s="46" t="s">
        <v>3577</v>
      </c>
    </row>
    <row r="1668" spans="1:6" ht="17">
      <c r="A1668" s="15">
        <f t="shared" ca="1" si="77"/>
        <v>918</v>
      </c>
      <c r="B1668" s="16">
        <f t="shared" ca="1" si="75"/>
        <v>0.51477080722476698</v>
      </c>
      <c r="C1668" s="17">
        <f>IF(AND(問題解答データベース!D1668&gt;=小テスト!$C$6,D1668&lt;=小テスト!$E$6),1,0)</f>
        <v>1</v>
      </c>
      <c r="D1668" s="44">
        <f t="shared" si="76"/>
        <v>1667</v>
      </c>
      <c r="E1668" s="45" t="s">
        <v>1831</v>
      </c>
      <c r="F1668" s="46" t="s">
        <v>3578</v>
      </c>
    </row>
    <row r="1669" spans="1:6" ht="17">
      <c r="A1669" s="15">
        <f t="shared" ca="1" si="77"/>
        <v>565</v>
      </c>
      <c r="B1669" s="16">
        <f t="shared" ca="1" si="75"/>
        <v>0.7059091030826703</v>
      </c>
      <c r="C1669" s="17">
        <f>IF(AND(問題解答データベース!D1669&gt;=小テスト!$C$6,D1669&lt;=小テスト!$E$6),1,0)</f>
        <v>1</v>
      </c>
      <c r="D1669" s="44">
        <f t="shared" si="76"/>
        <v>1668</v>
      </c>
      <c r="E1669" s="45" t="s">
        <v>1832</v>
      </c>
      <c r="F1669" s="46" t="s">
        <v>3579</v>
      </c>
    </row>
    <row r="1670" spans="1:6" ht="17">
      <c r="A1670" s="15">
        <f t="shared" ca="1" si="77"/>
        <v>1800</v>
      </c>
      <c r="B1670" s="16">
        <f t="shared" ca="1" si="75"/>
        <v>4.8536473034183736E-2</v>
      </c>
      <c r="C1670" s="17">
        <f>IF(AND(問題解答データベース!D1670&gt;=小テスト!$C$6,D1670&lt;=小テスト!$E$6),1,0)</f>
        <v>1</v>
      </c>
      <c r="D1670" s="44">
        <f t="shared" si="76"/>
        <v>1669</v>
      </c>
      <c r="E1670" s="45" t="s">
        <v>1833</v>
      </c>
      <c r="F1670" s="46" t="s">
        <v>3580</v>
      </c>
    </row>
    <row r="1671" spans="1:6" ht="17">
      <c r="A1671" s="15">
        <f t="shared" ca="1" si="77"/>
        <v>1176</v>
      </c>
      <c r="B1671" s="16">
        <f t="shared" ca="1" si="75"/>
        <v>0.37928600560848624</v>
      </c>
      <c r="C1671" s="17">
        <f>IF(AND(問題解答データベース!D1671&gt;=小テスト!$C$6,D1671&lt;=小テスト!$E$6),1,0)</f>
        <v>1</v>
      </c>
      <c r="D1671" s="44">
        <f t="shared" si="76"/>
        <v>1670</v>
      </c>
      <c r="E1671" s="45" t="s">
        <v>1834</v>
      </c>
      <c r="F1671" s="46" t="s">
        <v>3581</v>
      </c>
    </row>
    <row r="1672" spans="1:6" ht="17">
      <c r="A1672" s="15">
        <f t="shared" ca="1" si="77"/>
        <v>161</v>
      </c>
      <c r="B1672" s="16">
        <f t="shared" ca="1" si="75"/>
        <v>0.92138322531792327</v>
      </c>
      <c r="C1672" s="17">
        <f>IF(AND(問題解答データベース!D1672&gt;=小テスト!$C$6,D1672&lt;=小テスト!$E$6),1,0)</f>
        <v>1</v>
      </c>
      <c r="D1672" s="44">
        <f t="shared" si="76"/>
        <v>1671</v>
      </c>
      <c r="E1672" s="45" t="s">
        <v>1835</v>
      </c>
      <c r="F1672" s="46" t="s">
        <v>3582</v>
      </c>
    </row>
    <row r="1673" spans="1:6" ht="17">
      <c r="A1673" s="15">
        <f t="shared" ca="1" si="77"/>
        <v>830</v>
      </c>
      <c r="B1673" s="16">
        <f t="shared" ca="1" si="75"/>
        <v>0.55747493910732693</v>
      </c>
      <c r="C1673" s="17">
        <f>IF(AND(問題解答データベース!D1673&gt;=小テスト!$C$6,D1673&lt;=小テスト!$E$6),1,0)</f>
        <v>1</v>
      </c>
      <c r="D1673" s="44">
        <f t="shared" si="76"/>
        <v>1672</v>
      </c>
      <c r="E1673" s="45" t="s">
        <v>1836</v>
      </c>
      <c r="F1673" s="46" t="s">
        <v>3583</v>
      </c>
    </row>
    <row r="1674" spans="1:6" ht="17">
      <c r="A1674" s="15">
        <f t="shared" ca="1" si="77"/>
        <v>701</v>
      </c>
      <c r="B1674" s="16">
        <f t="shared" ref="B1674:B1737" ca="1" si="78">IF(C1674=1,RAND(),0)</f>
        <v>0.62639916376075833</v>
      </c>
      <c r="C1674" s="17">
        <f>IF(AND(問題解答データベース!D1674&gt;=小テスト!$C$6,D1674&lt;=小テスト!$E$6),1,0)</f>
        <v>1</v>
      </c>
      <c r="D1674" s="44">
        <f t="shared" si="76"/>
        <v>1673</v>
      </c>
      <c r="E1674" s="45" t="s">
        <v>1837</v>
      </c>
      <c r="F1674" s="46" t="s">
        <v>3584</v>
      </c>
    </row>
    <row r="1675" spans="1:6" ht="17">
      <c r="A1675" s="15">
        <f t="shared" ca="1" si="77"/>
        <v>749</v>
      </c>
      <c r="B1675" s="16">
        <f t="shared" ca="1" si="78"/>
        <v>0.60285684846331156</v>
      </c>
      <c r="C1675" s="17">
        <f>IF(AND(問題解答データベース!D1675&gt;=小テスト!$C$6,D1675&lt;=小テスト!$E$6),1,0)</f>
        <v>1</v>
      </c>
      <c r="D1675" s="44">
        <f t="shared" si="76"/>
        <v>1674</v>
      </c>
      <c r="E1675" s="45" t="s">
        <v>1838</v>
      </c>
      <c r="F1675" s="46" t="s">
        <v>3585</v>
      </c>
    </row>
    <row r="1676" spans="1:6" ht="17">
      <c r="A1676" s="15">
        <f t="shared" ca="1" si="77"/>
        <v>1596</v>
      </c>
      <c r="B1676" s="16">
        <f t="shared" ca="1" si="78"/>
        <v>0.15808138349378731</v>
      </c>
      <c r="C1676" s="17">
        <f>IF(AND(問題解答データベース!D1676&gt;=小テスト!$C$6,D1676&lt;=小テスト!$E$6),1,0)</f>
        <v>1</v>
      </c>
      <c r="D1676" s="44">
        <f t="shared" si="76"/>
        <v>1675</v>
      </c>
      <c r="E1676" s="45" t="s">
        <v>1839</v>
      </c>
      <c r="F1676" s="46" t="s">
        <v>3586</v>
      </c>
    </row>
    <row r="1677" spans="1:6" ht="17">
      <c r="A1677" s="15">
        <f t="shared" ca="1" si="77"/>
        <v>941</v>
      </c>
      <c r="B1677" s="16">
        <f t="shared" ca="1" si="78"/>
        <v>0.50543301324478618</v>
      </c>
      <c r="C1677" s="17">
        <f>IF(AND(問題解答データベース!D1677&gt;=小テスト!$C$6,D1677&lt;=小テスト!$E$6),1,0)</f>
        <v>1</v>
      </c>
      <c r="D1677" s="44">
        <f t="shared" si="76"/>
        <v>1676</v>
      </c>
      <c r="E1677" s="45" t="s">
        <v>1840</v>
      </c>
      <c r="F1677" s="46" t="s">
        <v>3587</v>
      </c>
    </row>
    <row r="1678" spans="1:6" ht="17">
      <c r="A1678" s="15">
        <f t="shared" ca="1" si="77"/>
        <v>363</v>
      </c>
      <c r="B1678" s="16">
        <f t="shared" ca="1" si="78"/>
        <v>0.80685204701625546</v>
      </c>
      <c r="C1678" s="17">
        <f>IF(AND(問題解答データベース!D1678&gt;=小テスト!$C$6,D1678&lt;=小テスト!$E$6),1,0)</f>
        <v>1</v>
      </c>
      <c r="D1678" s="44">
        <f t="shared" si="76"/>
        <v>1677</v>
      </c>
      <c r="E1678" s="45" t="s">
        <v>1841</v>
      </c>
      <c r="F1678" s="46" t="s">
        <v>3588</v>
      </c>
    </row>
    <row r="1679" spans="1:6" ht="17">
      <c r="A1679" s="15">
        <f t="shared" ca="1" si="77"/>
        <v>1739</v>
      </c>
      <c r="B1679" s="16">
        <f t="shared" ca="1" si="78"/>
        <v>7.9592337914425437E-2</v>
      </c>
      <c r="C1679" s="17">
        <f>IF(AND(問題解答データベース!D1679&gt;=小テスト!$C$6,D1679&lt;=小テスト!$E$6),1,0)</f>
        <v>1</v>
      </c>
      <c r="D1679" s="44">
        <f t="shared" si="76"/>
        <v>1678</v>
      </c>
      <c r="E1679" s="45" t="s">
        <v>1842</v>
      </c>
      <c r="F1679" s="46" t="s">
        <v>3589</v>
      </c>
    </row>
    <row r="1680" spans="1:6" ht="17">
      <c r="A1680" s="15">
        <f t="shared" ca="1" si="77"/>
        <v>1570</v>
      </c>
      <c r="B1680" s="16">
        <f t="shared" ca="1" si="78"/>
        <v>0.16865723668780819</v>
      </c>
      <c r="C1680" s="17">
        <f>IF(AND(問題解答データベース!D1680&gt;=小テスト!$C$6,D1680&lt;=小テスト!$E$6),1,0)</f>
        <v>1</v>
      </c>
      <c r="D1680" s="44">
        <f t="shared" si="76"/>
        <v>1679</v>
      </c>
      <c r="E1680" s="45" t="s">
        <v>1843</v>
      </c>
      <c r="F1680" s="46" t="s">
        <v>3590</v>
      </c>
    </row>
    <row r="1681" spans="1:6" ht="17">
      <c r="A1681" s="15">
        <f t="shared" ca="1" si="77"/>
        <v>15</v>
      </c>
      <c r="B1681" s="16">
        <f t="shared" ca="1" si="78"/>
        <v>0.99411108633418066</v>
      </c>
      <c r="C1681" s="17">
        <f>IF(AND(問題解答データベース!D1681&gt;=小テスト!$C$6,D1681&lt;=小テスト!$E$6),1,0)</f>
        <v>1</v>
      </c>
      <c r="D1681" s="44">
        <f t="shared" si="76"/>
        <v>1680</v>
      </c>
      <c r="E1681" s="45" t="s">
        <v>1844</v>
      </c>
      <c r="F1681" s="46" t="s">
        <v>3591</v>
      </c>
    </row>
    <row r="1682" spans="1:6" ht="17">
      <c r="A1682" s="15">
        <f t="shared" ca="1" si="77"/>
        <v>627</v>
      </c>
      <c r="B1682" s="16">
        <f t="shared" ca="1" si="78"/>
        <v>0.66941508320013954</v>
      </c>
      <c r="C1682" s="17">
        <f>IF(AND(問題解答データベース!D1682&gt;=小テスト!$C$6,D1682&lt;=小テスト!$E$6),1,0)</f>
        <v>1</v>
      </c>
      <c r="D1682" s="44">
        <f t="shared" si="76"/>
        <v>1681</v>
      </c>
      <c r="E1682" s="45" t="s">
        <v>1845</v>
      </c>
      <c r="F1682" s="46" t="s">
        <v>3592</v>
      </c>
    </row>
    <row r="1683" spans="1:6" ht="17">
      <c r="A1683" s="15">
        <f t="shared" ca="1" si="77"/>
        <v>1087</v>
      </c>
      <c r="B1683" s="16">
        <f t="shared" ca="1" si="78"/>
        <v>0.43169652693264016</v>
      </c>
      <c r="C1683" s="17">
        <f>IF(AND(問題解答データベース!D1683&gt;=小テスト!$C$6,D1683&lt;=小テスト!$E$6),1,0)</f>
        <v>1</v>
      </c>
      <c r="D1683" s="44">
        <f t="shared" si="76"/>
        <v>1682</v>
      </c>
      <c r="E1683" s="45" t="s">
        <v>1846</v>
      </c>
      <c r="F1683" s="46" t="s">
        <v>3593</v>
      </c>
    </row>
    <row r="1684" spans="1:6" ht="17">
      <c r="A1684" s="15">
        <f t="shared" ca="1" si="77"/>
        <v>211</v>
      </c>
      <c r="B1684" s="16">
        <f t="shared" ca="1" si="78"/>
        <v>0.89687589870446871</v>
      </c>
      <c r="C1684" s="17">
        <f>IF(AND(問題解答データベース!D1684&gt;=小テスト!$C$6,D1684&lt;=小テスト!$E$6),1,0)</f>
        <v>1</v>
      </c>
      <c r="D1684" s="44">
        <f t="shared" si="76"/>
        <v>1683</v>
      </c>
      <c r="E1684" s="45" t="s">
        <v>1847</v>
      </c>
      <c r="F1684" s="46" t="s">
        <v>3594</v>
      </c>
    </row>
    <row r="1685" spans="1:6" ht="17">
      <c r="A1685" s="15">
        <f t="shared" ca="1" si="77"/>
        <v>1779</v>
      </c>
      <c r="B1685" s="16">
        <f t="shared" ca="1" si="78"/>
        <v>6.0034506362530493E-2</v>
      </c>
      <c r="C1685" s="17">
        <f>IF(AND(問題解答データベース!D1685&gt;=小テスト!$C$6,D1685&lt;=小テスト!$E$6),1,0)</f>
        <v>1</v>
      </c>
      <c r="D1685" s="44">
        <f t="shared" si="76"/>
        <v>1684</v>
      </c>
      <c r="E1685" s="45" t="s">
        <v>1848</v>
      </c>
      <c r="F1685" s="46" t="s">
        <v>3595</v>
      </c>
    </row>
    <row r="1686" spans="1:6" ht="17">
      <c r="A1686" s="15">
        <f t="shared" ca="1" si="77"/>
        <v>1689</v>
      </c>
      <c r="B1686" s="16">
        <f t="shared" ca="1" si="78"/>
        <v>0.10706342068057373</v>
      </c>
      <c r="C1686" s="17">
        <f>IF(AND(問題解答データベース!D1686&gt;=小テスト!$C$6,D1686&lt;=小テスト!$E$6),1,0)</f>
        <v>1</v>
      </c>
      <c r="D1686" s="44">
        <f t="shared" si="76"/>
        <v>1685</v>
      </c>
      <c r="E1686" s="45" t="s">
        <v>1849</v>
      </c>
      <c r="F1686" s="46" t="s">
        <v>3596</v>
      </c>
    </row>
    <row r="1687" spans="1:6" ht="17">
      <c r="A1687" s="15">
        <f t="shared" ca="1" si="77"/>
        <v>610</v>
      </c>
      <c r="B1687" s="16">
        <f t="shared" ca="1" si="78"/>
        <v>0.67722258107865951</v>
      </c>
      <c r="C1687" s="17">
        <f>IF(AND(問題解答データベース!D1687&gt;=小テスト!$C$6,D1687&lt;=小テスト!$E$6),1,0)</f>
        <v>1</v>
      </c>
      <c r="D1687" s="44">
        <f t="shared" si="76"/>
        <v>1686</v>
      </c>
      <c r="E1687" s="45" t="s">
        <v>1850</v>
      </c>
      <c r="F1687" s="46" t="s">
        <v>3597</v>
      </c>
    </row>
    <row r="1688" spans="1:6" ht="17">
      <c r="A1688" s="15">
        <f t="shared" ca="1" si="77"/>
        <v>948</v>
      </c>
      <c r="B1688" s="16">
        <f t="shared" ca="1" si="78"/>
        <v>0.50062804506270908</v>
      </c>
      <c r="C1688" s="17">
        <f>IF(AND(問題解答データベース!D1688&gt;=小テスト!$C$6,D1688&lt;=小テスト!$E$6),1,0)</f>
        <v>1</v>
      </c>
      <c r="D1688" s="44">
        <f t="shared" si="76"/>
        <v>1687</v>
      </c>
      <c r="E1688" s="45" t="s">
        <v>1851</v>
      </c>
      <c r="F1688" s="46" t="s">
        <v>3598</v>
      </c>
    </row>
    <row r="1689" spans="1:6" ht="17">
      <c r="A1689" s="15">
        <f t="shared" ca="1" si="77"/>
        <v>145</v>
      </c>
      <c r="B1689" s="16">
        <f t="shared" ca="1" si="78"/>
        <v>0.9300108516396004</v>
      </c>
      <c r="C1689" s="17">
        <f>IF(AND(問題解答データベース!D1689&gt;=小テスト!$C$6,D1689&lt;=小テスト!$E$6),1,0)</f>
        <v>1</v>
      </c>
      <c r="D1689" s="44">
        <f t="shared" si="76"/>
        <v>1688</v>
      </c>
      <c r="E1689" s="45" t="s">
        <v>1852</v>
      </c>
      <c r="F1689" s="46" t="s">
        <v>3599</v>
      </c>
    </row>
    <row r="1690" spans="1:6" ht="17">
      <c r="A1690" s="15">
        <f t="shared" ca="1" si="77"/>
        <v>653</v>
      </c>
      <c r="B1690" s="16">
        <f t="shared" ca="1" si="78"/>
        <v>0.65751692662042183</v>
      </c>
      <c r="C1690" s="17">
        <f>IF(AND(問題解答データベース!D1690&gt;=小テスト!$C$6,D1690&lt;=小テスト!$E$6),1,0)</f>
        <v>1</v>
      </c>
      <c r="D1690" s="44">
        <f t="shared" si="76"/>
        <v>1689</v>
      </c>
      <c r="E1690" s="45" t="s">
        <v>1853</v>
      </c>
      <c r="F1690" s="46" t="s">
        <v>3600</v>
      </c>
    </row>
    <row r="1691" spans="1:6" ht="17">
      <c r="A1691" s="15">
        <f t="shared" ca="1" si="77"/>
        <v>1229</v>
      </c>
      <c r="B1691" s="16">
        <f t="shared" ca="1" si="78"/>
        <v>0.36003409276314435</v>
      </c>
      <c r="C1691" s="17">
        <f>IF(AND(問題解答データベース!D1691&gt;=小テスト!$C$6,D1691&lt;=小テスト!$E$6),1,0)</f>
        <v>1</v>
      </c>
      <c r="D1691" s="44">
        <f t="shared" si="76"/>
        <v>1690</v>
      </c>
      <c r="E1691" s="45" t="s">
        <v>1854</v>
      </c>
      <c r="F1691" s="46" t="s">
        <v>3601</v>
      </c>
    </row>
    <row r="1692" spans="1:6" ht="17">
      <c r="A1692" s="15">
        <f t="shared" ca="1" si="77"/>
        <v>1411</v>
      </c>
      <c r="B1692" s="16">
        <f t="shared" ca="1" si="78"/>
        <v>0.26153534999740158</v>
      </c>
      <c r="C1692" s="17">
        <f>IF(AND(問題解答データベース!D1692&gt;=小テスト!$C$6,D1692&lt;=小テスト!$E$6),1,0)</f>
        <v>1</v>
      </c>
      <c r="D1692" s="44">
        <f t="shared" ref="D1692:D1755" si="79">D1691+1</f>
        <v>1691</v>
      </c>
      <c r="E1692" s="45" t="s">
        <v>1855</v>
      </c>
      <c r="F1692" s="46" t="s">
        <v>3602</v>
      </c>
    </row>
    <row r="1693" spans="1:6" ht="17">
      <c r="A1693" s="15">
        <f t="shared" ca="1" si="77"/>
        <v>1280</v>
      </c>
      <c r="B1693" s="16">
        <f t="shared" ca="1" si="78"/>
        <v>0.33222749549833053</v>
      </c>
      <c r="C1693" s="17">
        <f>IF(AND(問題解答データベース!D1693&gt;=小テスト!$C$6,D1693&lt;=小テスト!$E$6),1,0)</f>
        <v>1</v>
      </c>
      <c r="D1693" s="44">
        <f t="shared" si="79"/>
        <v>1692</v>
      </c>
      <c r="E1693" s="45" t="s">
        <v>1856</v>
      </c>
      <c r="F1693" s="46" t="s">
        <v>3603</v>
      </c>
    </row>
    <row r="1694" spans="1:6" ht="17">
      <c r="A1694" s="15">
        <f t="shared" ca="1" si="77"/>
        <v>1417</v>
      </c>
      <c r="B1694" s="16">
        <f t="shared" ca="1" si="78"/>
        <v>0.25634366670230191</v>
      </c>
      <c r="C1694" s="17">
        <f>IF(AND(問題解答データベース!D1694&gt;=小テスト!$C$6,D1694&lt;=小テスト!$E$6),1,0)</f>
        <v>1</v>
      </c>
      <c r="D1694" s="44">
        <f t="shared" si="79"/>
        <v>1693</v>
      </c>
      <c r="E1694" s="45" t="s">
        <v>1857</v>
      </c>
      <c r="F1694" s="46" t="s">
        <v>3604</v>
      </c>
    </row>
    <row r="1695" spans="1:6" ht="17">
      <c r="A1695" s="15">
        <f t="shared" ca="1" si="77"/>
        <v>176</v>
      </c>
      <c r="B1695" s="16">
        <f t="shared" ca="1" si="78"/>
        <v>0.91540862101034703</v>
      </c>
      <c r="C1695" s="17">
        <f>IF(AND(問題解答データベース!D1695&gt;=小テスト!$C$6,D1695&lt;=小テスト!$E$6),1,0)</f>
        <v>1</v>
      </c>
      <c r="D1695" s="44">
        <f t="shared" si="79"/>
        <v>1694</v>
      </c>
      <c r="E1695" s="45" t="s">
        <v>1858</v>
      </c>
      <c r="F1695" s="46" t="s">
        <v>3605</v>
      </c>
    </row>
    <row r="1696" spans="1:6" ht="17">
      <c r="A1696" s="15">
        <f t="shared" ca="1" si="77"/>
        <v>1583</v>
      </c>
      <c r="B1696" s="16">
        <f t="shared" ca="1" si="78"/>
        <v>0.16487639119221054</v>
      </c>
      <c r="C1696" s="17">
        <f>IF(AND(問題解答データベース!D1696&gt;=小テスト!$C$6,D1696&lt;=小テスト!$E$6),1,0)</f>
        <v>1</v>
      </c>
      <c r="D1696" s="44">
        <f t="shared" si="79"/>
        <v>1695</v>
      </c>
      <c r="E1696" s="45" t="s">
        <v>1859</v>
      </c>
      <c r="F1696" s="46" t="s">
        <v>3606</v>
      </c>
    </row>
    <row r="1697" spans="1:6" ht="17">
      <c r="A1697" s="15">
        <f t="shared" ca="1" si="77"/>
        <v>428</v>
      </c>
      <c r="B1697" s="16">
        <f t="shared" ca="1" si="78"/>
        <v>0.77207228068817269</v>
      </c>
      <c r="C1697" s="17">
        <f>IF(AND(問題解答データベース!D1697&gt;=小テスト!$C$6,D1697&lt;=小テスト!$E$6),1,0)</f>
        <v>1</v>
      </c>
      <c r="D1697" s="44">
        <f t="shared" si="79"/>
        <v>1696</v>
      </c>
      <c r="E1697" s="45" t="s">
        <v>1860</v>
      </c>
      <c r="F1697" s="46" t="s">
        <v>3607</v>
      </c>
    </row>
    <row r="1698" spans="1:6" ht="17">
      <c r="A1698" s="15">
        <f t="shared" ca="1" si="77"/>
        <v>172</v>
      </c>
      <c r="B1698" s="16">
        <f t="shared" ca="1" si="78"/>
        <v>0.91691712856239427</v>
      </c>
      <c r="C1698" s="17">
        <f>IF(AND(問題解答データベース!D1698&gt;=小テスト!$C$6,D1698&lt;=小テスト!$E$6),1,0)</f>
        <v>1</v>
      </c>
      <c r="D1698" s="44">
        <f t="shared" si="79"/>
        <v>1697</v>
      </c>
      <c r="E1698" s="45" t="s">
        <v>1861</v>
      </c>
      <c r="F1698" s="46" t="s">
        <v>3608</v>
      </c>
    </row>
    <row r="1699" spans="1:6" ht="17">
      <c r="A1699" s="15">
        <f t="shared" ca="1" si="77"/>
        <v>457</v>
      </c>
      <c r="B1699" s="16">
        <f t="shared" ca="1" si="78"/>
        <v>0.76222950545074186</v>
      </c>
      <c r="C1699" s="17">
        <f>IF(AND(問題解答データベース!D1699&gt;=小テスト!$C$6,D1699&lt;=小テスト!$E$6),1,0)</f>
        <v>1</v>
      </c>
      <c r="D1699" s="44">
        <f t="shared" si="79"/>
        <v>1698</v>
      </c>
      <c r="E1699" s="45" t="s">
        <v>1862</v>
      </c>
      <c r="F1699" s="46" t="s">
        <v>3609</v>
      </c>
    </row>
    <row r="1700" spans="1:6" ht="17">
      <c r="A1700" s="15">
        <f t="shared" ca="1" si="77"/>
        <v>391</v>
      </c>
      <c r="B1700" s="16">
        <f t="shared" ca="1" si="78"/>
        <v>0.79076619549178673</v>
      </c>
      <c r="C1700" s="17">
        <f>IF(AND(問題解答データベース!D1700&gt;=小テスト!$C$6,D1700&lt;=小テスト!$E$6),1,0)</f>
        <v>1</v>
      </c>
      <c r="D1700" s="44">
        <f t="shared" si="79"/>
        <v>1699</v>
      </c>
      <c r="E1700" s="45" t="s">
        <v>1863</v>
      </c>
      <c r="F1700" s="46" t="s">
        <v>3610</v>
      </c>
    </row>
    <row r="1701" spans="1:6" ht="17">
      <c r="A1701" s="15">
        <f t="shared" ca="1" si="77"/>
        <v>1296</v>
      </c>
      <c r="B1701" s="16">
        <f t="shared" ca="1" si="78"/>
        <v>0.32360650083558573</v>
      </c>
      <c r="C1701" s="17">
        <f>IF(AND(問題解答データベース!D1701&gt;=小テスト!$C$6,D1701&lt;=小テスト!$E$6),1,0)</f>
        <v>1</v>
      </c>
      <c r="D1701" s="44">
        <f t="shared" si="79"/>
        <v>1700</v>
      </c>
      <c r="E1701" s="45" t="s">
        <v>1864</v>
      </c>
      <c r="F1701" s="46" t="s">
        <v>3611</v>
      </c>
    </row>
    <row r="1702" spans="1:6" ht="17">
      <c r="A1702" s="15">
        <f t="shared" ca="1" si="77"/>
        <v>626</v>
      </c>
      <c r="B1702" s="16">
        <f t="shared" ca="1" si="78"/>
        <v>0.6695707776527946</v>
      </c>
      <c r="C1702" s="17">
        <f>IF(AND(問題解答データベース!D1702&gt;=小テスト!$C$6,D1702&lt;=小テスト!$E$6),1,0)</f>
        <v>1</v>
      </c>
      <c r="D1702" s="44">
        <f t="shared" si="79"/>
        <v>1701</v>
      </c>
      <c r="E1702" s="45" t="s">
        <v>1865</v>
      </c>
      <c r="F1702" s="46" t="s">
        <v>3612</v>
      </c>
    </row>
    <row r="1703" spans="1:6" ht="17">
      <c r="A1703" s="15">
        <f t="shared" ca="1" si="77"/>
        <v>1571</v>
      </c>
      <c r="B1703" s="16">
        <f t="shared" ca="1" si="78"/>
        <v>0.16799966280128487</v>
      </c>
      <c r="C1703" s="17">
        <f>IF(AND(問題解答データベース!D1703&gt;=小テスト!$C$6,D1703&lt;=小テスト!$E$6),1,0)</f>
        <v>1</v>
      </c>
      <c r="D1703" s="44">
        <f t="shared" si="79"/>
        <v>1702</v>
      </c>
      <c r="E1703" s="45" t="s">
        <v>1866</v>
      </c>
      <c r="F1703" s="46" t="s">
        <v>3613</v>
      </c>
    </row>
    <row r="1704" spans="1:6" ht="17">
      <c r="A1704" s="15">
        <f t="shared" ca="1" si="77"/>
        <v>1154</v>
      </c>
      <c r="B1704" s="16">
        <f t="shared" ca="1" si="78"/>
        <v>0.39392045480073212</v>
      </c>
      <c r="C1704" s="17">
        <f>IF(AND(問題解答データベース!D1704&gt;=小テスト!$C$6,D1704&lt;=小テスト!$E$6),1,0)</f>
        <v>1</v>
      </c>
      <c r="D1704" s="44">
        <f t="shared" si="79"/>
        <v>1703</v>
      </c>
      <c r="E1704" s="45" t="s">
        <v>1867</v>
      </c>
      <c r="F1704" s="46" t="s">
        <v>3614</v>
      </c>
    </row>
    <row r="1705" spans="1:6" ht="17">
      <c r="A1705" s="15">
        <f t="shared" ca="1" si="77"/>
        <v>1542</v>
      </c>
      <c r="B1705" s="16">
        <f t="shared" ca="1" si="78"/>
        <v>0.18316414081691856</v>
      </c>
      <c r="C1705" s="17">
        <f>IF(AND(問題解答データベース!D1705&gt;=小テスト!$C$6,D1705&lt;=小テスト!$E$6),1,0)</f>
        <v>1</v>
      </c>
      <c r="D1705" s="44">
        <f t="shared" si="79"/>
        <v>1704</v>
      </c>
      <c r="E1705" s="45" t="s">
        <v>1868</v>
      </c>
      <c r="F1705" s="46" t="s">
        <v>3615</v>
      </c>
    </row>
    <row r="1706" spans="1:6" ht="17">
      <c r="A1706" s="15">
        <f t="shared" ca="1" si="77"/>
        <v>742</v>
      </c>
      <c r="B1706" s="16">
        <f t="shared" ca="1" si="78"/>
        <v>0.60536564885531496</v>
      </c>
      <c r="C1706" s="17">
        <f>IF(AND(問題解答データベース!D1706&gt;=小テスト!$C$6,D1706&lt;=小テスト!$E$6),1,0)</f>
        <v>1</v>
      </c>
      <c r="D1706" s="44">
        <f t="shared" si="79"/>
        <v>1705</v>
      </c>
      <c r="E1706" s="45" t="s">
        <v>1869</v>
      </c>
      <c r="F1706" s="46" t="s">
        <v>3616</v>
      </c>
    </row>
    <row r="1707" spans="1:6" ht="17">
      <c r="A1707" s="15">
        <f t="shared" ca="1" si="77"/>
        <v>518</v>
      </c>
      <c r="B1707" s="16">
        <f t="shared" ca="1" si="78"/>
        <v>0.73250003509553197</v>
      </c>
      <c r="C1707" s="17">
        <f>IF(AND(問題解答データベース!D1707&gt;=小テスト!$C$6,D1707&lt;=小テスト!$E$6),1,0)</f>
        <v>1</v>
      </c>
      <c r="D1707" s="44">
        <f t="shared" si="79"/>
        <v>1706</v>
      </c>
      <c r="E1707" s="45" t="s">
        <v>1870</v>
      </c>
      <c r="F1707" s="46" t="s">
        <v>3617</v>
      </c>
    </row>
    <row r="1708" spans="1:6" ht="17">
      <c r="A1708" s="15">
        <f t="shared" ca="1" si="77"/>
        <v>721</v>
      </c>
      <c r="B1708" s="16">
        <f t="shared" ca="1" si="78"/>
        <v>0.61732410474355115</v>
      </c>
      <c r="C1708" s="17">
        <f>IF(AND(問題解答データベース!D1708&gt;=小テスト!$C$6,D1708&lt;=小テスト!$E$6),1,0)</f>
        <v>1</v>
      </c>
      <c r="D1708" s="44">
        <f t="shared" si="79"/>
        <v>1707</v>
      </c>
      <c r="E1708" s="45" t="s">
        <v>1871</v>
      </c>
      <c r="F1708" s="46" t="s">
        <v>3618</v>
      </c>
    </row>
    <row r="1709" spans="1:6" ht="17">
      <c r="A1709" s="15">
        <f t="shared" ca="1" si="77"/>
        <v>1727</v>
      </c>
      <c r="B1709" s="16">
        <f t="shared" ca="1" si="78"/>
        <v>8.5468527511119219E-2</v>
      </c>
      <c r="C1709" s="17">
        <f>IF(AND(問題解答データベース!D1709&gt;=小テスト!$C$6,D1709&lt;=小テスト!$E$6),1,0)</f>
        <v>1</v>
      </c>
      <c r="D1709" s="44">
        <f t="shared" si="79"/>
        <v>1708</v>
      </c>
      <c r="E1709" s="45" t="s">
        <v>1872</v>
      </c>
      <c r="F1709" s="46" t="s">
        <v>3619</v>
      </c>
    </row>
    <row r="1710" spans="1:6" ht="17">
      <c r="A1710" s="15">
        <f t="shared" ca="1" si="77"/>
        <v>175</v>
      </c>
      <c r="B1710" s="16">
        <f t="shared" ca="1" si="78"/>
        <v>0.91606583678194387</v>
      </c>
      <c r="C1710" s="17">
        <f>IF(AND(問題解答データベース!D1710&gt;=小テスト!$C$6,D1710&lt;=小テスト!$E$6),1,0)</f>
        <v>1</v>
      </c>
      <c r="D1710" s="44">
        <f t="shared" si="79"/>
        <v>1709</v>
      </c>
      <c r="E1710" s="45" t="s">
        <v>1873</v>
      </c>
      <c r="F1710" s="46" t="s">
        <v>3620</v>
      </c>
    </row>
    <row r="1711" spans="1:6" ht="17">
      <c r="A1711" s="15">
        <f t="shared" ca="1" si="77"/>
        <v>167</v>
      </c>
      <c r="B1711" s="16">
        <f t="shared" ca="1" si="78"/>
        <v>0.91911790576611585</v>
      </c>
      <c r="C1711" s="17">
        <f>IF(AND(問題解答データベース!D1711&gt;=小テスト!$C$6,D1711&lt;=小テスト!$E$6),1,0)</f>
        <v>1</v>
      </c>
      <c r="D1711" s="44">
        <f t="shared" si="79"/>
        <v>1710</v>
      </c>
      <c r="E1711" s="45" t="s">
        <v>1874</v>
      </c>
      <c r="F1711" s="46" t="s">
        <v>3621</v>
      </c>
    </row>
    <row r="1712" spans="1:6" ht="17">
      <c r="A1712" s="15">
        <f t="shared" ca="1" si="77"/>
        <v>693</v>
      </c>
      <c r="B1712" s="16">
        <f t="shared" ca="1" si="78"/>
        <v>0.63057802770720139</v>
      </c>
      <c r="C1712" s="17">
        <f>IF(AND(問題解答データベース!D1712&gt;=小テスト!$C$6,D1712&lt;=小テスト!$E$6),1,0)</f>
        <v>1</v>
      </c>
      <c r="D1712" s="44">
        <f t="shared" si="79"/>
        <v>1711</v>
      </c>
      <c r="E1712" s="45" t="s">
        <v>1875</v>
      </c>
      <c r="F1712" s="46" t="s">
        <v>3622</v>
      </c>
    </row>
    <row r="1713" spans="1:6" ht="17">
      <c r="A1713" s="15">
        <f t="shared" ca="1" si="77"/>
        <v>390</v>
      </c>
      <c r="B1713" s="16">
        <f t="shared" ca="1" si="78"/>
        <v>0.79088982327093615</v>
      </c>
      <c r="C1713" s="17">
        <f>IF(AND(問題解答データベース!D1713&gt;=小テスト!$C$6,D1713&lt;=小テスト!$E$6),1,0)</f>
        <v>1</v>
      </c>
      <c r="D1713" s="44">
        <f t="shared" si="79"/>
        <v>1712</v>
      </c>
      <c r="E1713" s="45" t="s">
        <v>1876</v>
      </c>
      <c r="F1713" s="46" t="s">
        <v>3623</v>
      </c>
    </row>
    <row r="1714" spans="1:6" ht="17">
      <c r="A1714" s="15">
        <f t="shared" ca="1" si="77"/>
        <v>464</v>
      </c>
      <c r="B1714" s="16">
        <f t="shared" ca="1" si="78"/>
        <v>0.75992861726398542</v>
      </c>
      <c r="C1714" s="17">
        <f>IF(AND(問題解答データベース!D1714&gt;=小テスト!$C$6,D1714&lt;=小テスト!$E$6),1,0)</f>
        <v>1</v>
      </c>
      <c r="D1714" s="44">
        <f t="shared" si="79"/>
        <v>1713</v>
      </c>
      <c r="E1714" s="45" t="s">
        <v>1877</v>
      </c>
      <c r="F1714" s="46" t="s">
        <v>3624</v>
      </c>
    </row>
    <row r="1715" spans="1:6" ht="17">
      <c r="A1715" s="15">
        <f t="shared" ca="1" si="77"/>
        <v>1079</v>
      </c>
      <c r="B1715" s="16">
        <f t="shared" ca="1" si="78"/>
        <v>0.43511513591084061</v>
      </c>
      <c r="C1715" s="17">
        <f>IF(AND(問題解答データベース!D1715&gt;=小テスト!$C$6,D1715&lt;=小テスト!$E$6),1,0)</f>
        <v>1</v>
      </c>
      <c r="D1715" s="44">
        <f t="shared" si="79"/>
        <v>1714</v>
      </c>
      <c r="E1715" s="45" t="s">
        <v>1878</v>
      </c>
      <c r="F1715" s="46" t="s">
        <v>3625</v>
      </c>
    </row>
    <row r="1716" spans="1:6" ht="17">
      <c r="A1716" s="15">
        <f t="shared" ca="1" si="77"/>
        <v>55</v>
      </c>
      <c r="B1716" s="16">
        <f t="shared" ca="1" si="78"/>
        <v>0.97096294074724132</v>
      </c>
      <c r="C1716" s="17">
        <f>IF(AND(問題解答データベース!D1716&gt;=小テスト!$C$6,D1716&lt;=小テスト!$E$6),1,0)</f>
        <v>1</v>
      </c>
      <c r="D1716" s="44">
        <f t="shared" si="79"/>
        <v>1715</v>
      </c>
      <c r="E1716" s="45" t="s">
        <v>1879</v>
      </c>
      <c r="F1716" s="46" t="s">
        <v>3626</v>
      </c>
    </row>
    <row r="1717" spans="1:6" ht="17">
      <c r="A1717" s="15">
        <f t="shared" ca="1" si="77"/>
        <v>1676</v>
      </c>
      <c r="B1717" s="16">
        <f t="shared" ca="1" si="78"/>
        <v>0.11338782694232141</v>
      </c>
      <c r="C1717" s="17">
        <f>IF(AND(問題解答データベース!D1717&gt;=小テスト!$C$6,D1717&lt;=小テスト!$E$6),1,0)</f>
        <v>1</v>
      </c>
      <c r="D1717" s="44">
        <f t="shared" si="79"/>
        <v>1716</v>
      </c>
      <c r="E1717" s="45" t="s">
        <v>1880</v>
      </c>
      <c r="F1717" s="46" t="s">
        <v>3627</v>
      </c>
    </row>
    <row r="1718" spans="1:6" ht="17">
      <c r="A1718" s="15">
        <f t="shared" ca="1" si="77"/>
        <v>1316</v>
      </c>
      <c r="B1718" s="16">
        <f t="shared" ca="1" si="78"/>
        <v>0.3111165772270631</v>
      </c>
      <c r="C1718" s="17">
        <f>IF(AND(問題解答データベース!D1718&gt;=小テスト!$C$6,D1718&lt;=小テスト!$E$6),1,0)</f>
        <v>1</v>
      </c>
      <c r="D1718" s="44">
        <f t="shared" si="79"/>
        <v>1717</v>
      </c>
      <c r="E1718" s="45" t="s">
        <v>1881</v>
      </c>
      <c r="F1718" s="46" t="s">
        <v>3628</v>
      </c>
    </row>
    <row r="1719" spans="1:6" ht="17">
      <c r="A1719" s="15">
        <f t="shared" ca="1" si="77"/>
        <v>402</v>
      </c>
      <c r="B1719" s="16">
        <f t="shared" ca="1" si="78"/>
        <v>0.78662870932325224</v>
      </c>
      <c r="C1719" s="17">
        <f>IF(AND(問題解答データベース!D1719&gt;=小テスト!$C$6,D1719&lt;=小テスト!$E$6),1,0)</f>
        <v>1</v>
      </c>
      <c r="D1719" s="44">
        <f t="shared" si="79"/>
        <v>1718</v>
      </c>
      <c r="E1719" s="45" t="s">
        <v>1882</v>
      </c>
      <c r="F1719" s="46" t="s">
        <v>3629</v>
      </c>
    </row>
    <row r="1720" spans="1:6" ht="17">
      <c r="A1720" s="15">
        <f t="shared" ca="1" si="77"/>
        <v>446</v>
      </c>
      <c r="B1720" s="16">
        <f t="shared" ca="1" si="78"/>
        <v>0.76585587096495877</v>
      </c>
      <c r="C1720" s="17">
        <f>IF(AND(問題解答データベース!D1720&gt;=小テスト!$C$6,D1720&lt;=小テスト!$E$6),1,0)</f>
        <v>1</v>
      </c>
      <c r="D1720" s="44">
        <f t="shared" si="79"/>
        <v>1719</v>
      </c>
      <c r="E1720" s="45" t="s">
        <v>1883</v>
      </c>
      <c r="F1720" s="46" t="s">
        <v>3630</v>
      </c>
    </row>
    <row r="1721" spans="1:6" ht="17">
      <c r="A1721" s="15">
        <f t="shared" ca="1" si="77"/>
        <v>1352</v>
      </c>
      <c r="B1721" s="16">
        <f t="shared" ca="1" si="78"/>
        <v>0.29193145054621872</v>
      </c>
      <c r="C1721" s="17">
        <f>IF(AND(問題解答データベース!D1721&gt;=小テスト!$C$6,D1721&lt;=小テスト!$E$6),1,0)</f>
        <v>1</v>
      </c>
      <c r="D1721" s="44">
        <f t="shared" si="79"/>
        <v>1720</v>
      </c>
      <c r="E1721" s="45" t="s">
        <v>1884</v>
      </c>
      <c r="F1721" s="46" t="s">
        <v>3631</v>
      </c>
    </row>
    <row r="1722" spans="1:6" ht="17">
      <c r="A1722" s="15">
        <f t="shared" ca="1" si="77"/>
        <v>530</v>
      </c>
      <c r="B1722" s="16">
        <f t="shared" ca="1" si="78"/>
        <v>0.72573821530528293</v>
      </c>
      <c r="C1722" s="17">
        <f>IF(AND(問題解答データベース!D1722&gt;=小テスト!$C$6,D1722&lt;=小テスト!$E$6),1,0)</f>
        <v>1</v>
      </c>
      <c r="D1722" s="44">
        <f t="shared" si="79"/>
        <v>1721</v>
      </c>
      <c r="E1722" s="45" t="s">
        <v>1885</v>
      </c>
      <c r="F1722" s="46" t="s">
        <v>3632</v>
      </c>
    </row>
    <row r="1723" spans="1:6" ht="17">
      <c r="A1723" s="15">
        <f t="shared" ca="1" si="77"/>
        <v>49</v>
      </c>
      <c r="B1723" s="16">
        <f t="shared" ca="1" si="78"/>
        <v>0.97286933054977265</v>
      </c>
      <c r="C1723" s="17">
        <f>IF(AND(問題解答データベース!D1723&gt;=小テスト!$C$6,D1723&lt;=小テスト!$E$6),1,0)</f>
        <v>1</v>
      </c>
      <c r="D1723" s="44">
        <f t="shared" si="79"/>
        <v>1722</v>
      </c>
      <c r="E1723" s="45" t="s">
        <v>1886</v>
      </c>
      <c r="F1723" s="46" t="s">
        <v>3633</v>
      </c>
    </row>
    <row r="1724" spans="1:6" ht="17">
      <c r="A1724" s="15">
        <f t="shared" ca="1" si="77"/>
        <v>1318</v>
      </c>
      <c r="B1724" s="16">
        <f t="shared" ca="1" si="78"/>
        <v>0.30881454010050524</v>
      </c>
      <c r="C1724" s="17">
        <f>IF(AND(問題解答データベース!D1724&gt;=小テスト!$C$6,D1724&lt;=小テスト!$E$6),1,0)</f>
        <v>1</v>
      </c>
      <c r="D1724" s="44">
        <f t="shared" si="79"/>
        <v>1723</v>
      </c>
      <c r="E1724" s="45" t="s">
        <v>1887</v>
      </c>
      <c r="F1724" s="46" t="s">
        <v>3634</v>
      </c>
    </row>
    <row r="1725" spans="1:6" ht="17">
      <c r="A1725" s="15">
        <f t="shared" ca="1" si="77"/>
        <v>743</v>
      </c>
      <c r="B1725" s="16">
        <f t="shared" ca="1" si="78"/>
        <v>0.60524070340681801</v>
      </c>
      <c r="C1725" s="17">
        <f>IF(AND(問題解答データベース!D1725&gt;=小テスト!$C$6,D1725&lt;=小テスト!$E$6),1,0)</f>
        <v>1</v>
      </c>
      <c r="D1725" s="44">
        <f t="shared" si="79"/>
        <v>1724</v>
      </c>
      <c r="E1725" s="45" t="s">
        <v>1888</v>
      </c>
      <c r="F1725" s="46" t="s">
        <v>3635</v>
      </c>
    </row>
    <row r="1726" spans="1:6" ht="17">
      <c r="A1726" s="15">
        <f t="shared" ca="1" si="77"/>
        <v>408</v>
      </c>
      <c r="B1726" s="16">
        <f t="shared" ca="1" si="78"/>
        <v>0.78326838602955029</v>
      </c>
      <c r="C1726" s="17">
        <f>IF(AND(問題解答データベース!D1726&gt;=小テスト!$C$6,D1726&lt;=小テスト!$E$6),1,0)</f>
        <v>1</v>
      </c>
      <c r="D1726" s="44">
        <f t="shared" si="79"/>
        <v>1725</v>
      </c>
      <c r="E1726" s="45" t="s">
        <v>1889</v>
      </c>
      <c r="F1726" s="46" t="s">
        <v>3636</v>
      </c>
    </row>
    <row r="1727" spans="1:6" ht="17">
      <c r="A1727" s="15">
        <f t="shared" ca="1" si="77"/>
        <v>1347</v>
      </c>
      <c r="B1727" s="16">
        <f t="shared" ca="1" si="78"/>
        <v>0.29530981742461015</v>
      </c>
      <c r="C1727" s="17">
        <f>IF(AND(問題解答データベース!D1727&gt;=小テスト!$C$6,D1727&lt;=小テスト!$E$6),1,0)</f>
        <v>1</v>
      </c>
      <c r="D1727" s="44">
        <f t="shared" si="79"/>
        <v>1726</v>
      </c>
      <c r="E1727" s="45" t="s">
        <v>1890</v>
      </c>
      <c r="F1727" s="46" t="s">
        <v>3637</v>
      </c>
    </row>
    <row r="1728" spans="1:6" ht="17">
      <c r="A1728" s="15">
        <f t="shared" ca="1" si="77"/>
        <v>434</v>
      </c>
      <c r="B1728" s="16">
        <f t="shared" ca="1" si="78"/>
        <v>0.7686322090819403</v>
      </c>
      <c r="C1728" s="17">
        <f>IF(AND(問題解答データベース!D1728&gt;=小テスト!$C$6,D1728&lt;=小テスト!$E$6),1,0)</f>
        <v>1</v>
      </c>
      <c r="D1728" s="44">
        <f t="shared" si="79"/>
        <v>1727</v>
      </c>
      <c r="E1728" s="45" t="s">
        <v>1891</v>
      </c>
      <c r="F1728" s="46" t="s">
        <v>105</v>
      </c>
    </row>
    <row r="1729" spans="1:6" ht="17">
      <c r="A1729" s="15">
        <f t="shared" ca="1" si="77"/>
        <v>1211</v>
      </c>
      <c r="B1729" s="16">
        <f t="shared" ca="1" si="78"/>
        <v>0.36473494044186605</v>
      </c>
      <c r="C1729" s="17">
        <f>IF(AND(問題解答データベース!D1729&gt;=小テスト!$C$6,D1729&lt;=小テスト!$E$6),1,0)</f>
        <v>1</v>
      </c>
      <c r="D1729" s="44">
        <f t="shared" si="79"/>
        <v>1728</v>
      </c>
      <c r="E1729" s="45" t="s">
        <v>1892</v>
      </c>
      <c r="F1729" s="46" t="s">
        <v>3638</v>
      </c>
    </row>
    <row r="1730" spans="1:6" ht="17">
      <c r="A1730" s="15">
        <f t="shared" ca="1" si="77"/>
        <v>1059</v>
      </c>
      <c r="B1730" s="16">
        <f t="shared" ca="1" si="78"/>
        <v>0.45024563548934127</v>
      </c>
      <c r="C1730" s="17">
        <f>IF(AND(問題解答データベース!D1730&gt;=小テスト!$C$6,D1730&lt;=小テスト!$E$6),1,0)</f>
        <v>1</v>
      </c>
      <c r="D1730" s="44">
        <f t="shared" si="79"/>
        <v>1729</v>
      </c>
      <c r="E1730" s="45" t="s">
        <v>1893</v>
      </c>
      <c r="F1730" s="46" t="s">
        <v>3639</v>
      </c>
    </row>
    <row r="1731" spans="1:6" ht="17">
      <c r="A1731" s="15">
        <f t="shared" ref="A1731:A1794" ca="1" si="80">RANK(B1731,$B$2:$B$1901,0)</f>
        <v>1535</v>
      </c>
      <c r="B1731" s="16">
        <f t="shared" ca="1" si="78"/>
        <v>0.18587161432962318</v>
      </c>
      <c r="C1731" s="17">
        <f>IF(AND(問題解答データベース!D1731&gt;=小テスト!$C$6,D1731&lt;=小テスト!$E$6),1,0)</f>
        <v>1</v>
      </c>
      <c r="D1731" s="44">
        <f t="shared" si="79"/>
        <v>1730</v>
      </c>
      <c r="E1731" s="45" t="s">
        <v>1894</v>
      </c>
      <c r="F1731" s="46" t="s">
        <v>3640</v>
      </c>
    </row>
    <row r="1732" spans="1:6" ht="17">
      <c r="A1732" s="15">
        <f t="shared" ca="1" si="80"/>
        <v>973</v>
      </c>
      <c r="B1732" s="16">
        <f t="shared" ca="1" si="78"/>
        <v>0.48871568904378682</v>
      </c>
      <c r="C1732" s="17">
        <f>IF(AND(問題解答データベース!D1732&gt;=小テスト!$C$6,D1732&lt;=小テスト!$E$6),1,0)</f>
        <v>1</v>
      </c>
      <c r="D1732" s="44">
        <f t="shared" si="79"/>
        <v>1731</v>
      </c>
      <c r="E1732" s="45" t="s">
        <v>1895</v>
      </c>
      <c r="F1732" s="46" t="s">
        <v>3641</v>
      </c>
    </row>
    <row r="1733" spans="1:6" ht="17">
      <c r="A1733" s="15">
        <f t="shared" ca="1" si="80"/>
        <v>788</v>
      </c>
      <c r="B1733" s="16">
        <f t="shared" ca="1" si="78"/>
        <v>0.57965229136654306</v>
      </c>
      <c r="C1733" s="17">
        <f>IF(AND(問題解答データベース!D1733&gt;=小テスト!$C$6,D1733&lt;=小テスト!$E$6),1,0)</f>
        <v>1</v>
      </c>
      <c r="D1733" s="44">
        <f t="shared" si="79"/>
        <v>1732</v>
      </c>
      <c r="E1733" s="45" t="s">
        <v>1896</v>
      </c>
      <c r="F1733" s="46" t="s">
        <v>3642</v>
      </c>
    </row>
    <row r="1734" spans="1:6" ht="17">
      <c r="A1734" s="15">
        <f t="shared" ca="1" si="80"/>
        <v>1646</v>
      </c>
      <c r="B1734" s="16">
        <f t="shared" ca="1" si="78"/>
        <v>0.12880510816137047</v>
      </c>
      <c r="C1734" s="17">
        <f>IF(AND(問題解答データベース!D1734&gt;=小テスト!$C$6,D1734&lt;=小テスト!$E$6),1,0)</f>
        <v>1</v>
      </c>
      <c r="D1734" s="44">
        <f t="shared" si="79"/>
        <v>1733</v>
      </c>
      <c r="E1734" s="45" t="s">
        <v>1897</v>
      </c>
      <c r="F1734" s="46" t="s">
        <v>3643</v>
      </c>
    </row>
    <row r="1735" spans="1:6" ht="17">
      <c r="A1735" s="15">
        <f t="shared" ca="1" si="80"/>
        <v>686</v>
      </c>
      <c r="B1735" s="16">
        <f t="shared" ca="1" si="78"/>
        <v>0.6348979118839233</v>
      </c>
      <c r="C1735" s="17">
        <f>IF(AND(問題解答データベース!D1735&gt;=小テスト!$C$6,D1735&lt;=小テスト!$E$6),1,0)</f>
        <v>1</v>
      </c>
      <c r="D1735" s="44">
        <f t="shared" si="79"/>
        <v>1734</v>
      </c>
      <c r="E1735" s="45" t="s">
        <v>1898</v>
      </c>
      <c r="F1735" s="46" t="s">
        <v>3644</v>
      </c>
    </row>
    <row r="1736" spans="1:6" ht="17">
      <c r="A1736" s="15">
        <f t="shared" ca="1" si="80"/>
        <v>218</v>
      </c>
      <c r="B1736" s="16">
        <f t="shared" ca="1" si="78"/>
        <v>0.89286450172749865</v>
      </c>
      <c r="C1736" s="17">
        <f>IF(AND(問題解答データベース!D1736&gt;=小テスト!$C$6,D1736&lt;=小テスト!$E$6),1,0)</f>
        <v>1</v>
      </c>
      <c r="D1736" s="44">
        <f t="shared" si="79"/>
        <v>1735</v>
      </c>
      <c r="E1736" s="45" t="s">
        <v>1899</v>
      </c>
      <c r="F1736" s="46" t="s">
        <v>3645</v>
      </c>
    </row>
    <row r="1737" spans="1:6" ht="17">
      <c r="A1737" s="15">
        <f t="shared" ca="1" si="80"/>
        <v>1503</v>
      </c>
      <c r="B1737" s="16">
        <f t="shared" ca="1" si="78"/>
        <v>0.1998299677306633</v>
      </c>
      <c r="C1737" s="17">
        <f>IF(AND(問題解答データベース!D1737&gt;=小テスト!$C$6,D1737&lt;=小テスト!$E$6),1,0)</f>
        <v>1</v>
      </c>
      <c r="D1737" s="44">
        <f t="shared" si="79"/>
        <v>1736</v>
      </c>
      <c r="E1737" s="45" t="s">
        <v>1900</v>
      </c>
      <c r="F1737" s="46" t="s">
        <v>3646</v>
      </c>
    </row>
    <row r="1738" spans="1:6" ht="17">
      <c r="A1738" s="15">
        <f t="shared" ca="1" si="80"/>
        <v>1351</v>
      </c>
      <c r="B1738" s="16">
        <f t="shared" ref="B1738:B1801" ca="1" si="81">IF(C1738=1,RAND(),0)</f>
        <v>0.29196554548805975</v>
      </c>
      <c r="C1738" s="17">
        <f>IF(AND(問題解答データベース!D1738&gt;=小テスト!$C$6,D1738&lt;=小テスト!$E$6),1,0)</f>
        <v>1</v>
      </c>
      <c r="D1738" s="44">
        <f t="shared" si="79"/>
        <v>1737</v>
      </c>
      <c r="E1738" s="45" t="s">
        <v>1901</v>
      </c>
      <c r="F1738" s="46" t="s">
        <v>3647</v>
      </c>
    </row>
    <row r="1739" spans="1:6" ht="17">
      <c r="A1739" s="15">
        <f t="shared" ca="1" si="80"/>
        <v>871</v>
      </c>
      <c r="B1739" s="16">
        <f t="shared" ca="1" si="81"/>
        <v>0.53611562767537013</v>
      </c>
      <c r="C1739" s="17">
        <f>IF(AND(問題解答データベース!D1739&gt;=小テスト!$C$6,D1739&lt;=小テスト!$E$6),1,0)</f>
        <v>1</v>
      </c>
      <c r="D1739" s="44">
        <f t="shared" si="79"/>
        <v>1738</v>
      </c>
      <c r="E1739" s="45" t="s">
        <v>1902</v>
      </c>
      <c r="F1739" s="46" t="s">
        <v>3648</v>
      </c>
    </row>
    <row r="1740" spans="1:6" ht="17">
      <c r="A1740" s="15">
        <f t="shared" ca="1" si="80"/>
        <v>1737</v>
      </c>
      <c r="B1740" s="16">
        <f t="shared" ca="1" si="81"/>
        <v>8.0394573068702457E-2</v>
      </c>
      <c r="C1740" s="17">
        <f>IF(AND(問題解答データベース!D1740&gt;=小テスト!$C$6,D1740&lt;=小テスト!$E$6),1,0)</f>
        <v>1</v>
      </c>
      <c r="D1740" s="44">
        <f t="shared" si="79"/>
        <v>1739</v>
      </c>
      <c r="E1740" s="45" t="s">
        <v>1903</v>
      </c>
      <c r="F1740" s="46" t="s">
        <v>3649</v>
      </c>
    </row>
    <row r="1741" spans="1:6" ht="17">
      <c r="A1741" s="15">
        <f t="shared" ca="1" si="80"/>
        <v>1860</v>
      </c>
      <c r="B1741" s="16">
        <f t="shared" ca="1" si="81"/>
        <v>1.8081098193356793E-2</v>
      </c>
      <c r="C1741" s="17">
        <f>IF(AND(問題解答データベース!D1741&gt;=小テスト!$C$6,D1741&lt;=小テスト!$E$6),1,0)</f>
        <v>1</v>
      </c>
      <c r="D1741" s="44">
        <f t="shared" si="79"/>
        <v>1740</v>
      </c>
      <c r="E1741" s="45" t="s">
        <v>1904</v>
      </c>
      <c r="F1741" s="46" t="s">
        <v>3650</v>
      </c>
    </row>
    <row r="1742" spans="1:6" ht="17">
      <c r="A1742" s="15">
        <f t="shared" ca="1" si="80"/>
        <v>360</v>
      </c>
      <c r="B1742" s="16">
        <f t="shared" ca="1" si="81"/>
        <v>0.80744834027214463</v>
      </c>
      <c r="C1742" s="17">
        <f>IF(AND(問題解答データベース!D1742&gt;=小テスト!$C$6,D1742&lt;=小テスト!$E$6),1,0)</f>
        <v>1</v>
      </c>
      <c r="D1742" s="44">
        <f t="shared" si="79"/>
        <v>1741</v>
      </c>
      <c r="E1742" s="45" t="s">
        <v>1905</v>
      </c>
      <c r="F1742" s="46" t="s">
        <v>3651</v>
      </c>
    </row>
    <row r="1743" spans="1:6" ht="17">
      <c r="A1743" s="15">
        <f t="shared" ca="1" si="80"/>
        <v>1191</v>
      </c>
      <c r="B1743" s="16">
        <f t="shared" ca="1" si="81"/>
        <v>0.37143879379242362</v>
      </c>
      <c r="C1743" s="17">
        <f>IF(AND(問題解答データベース!D1743&gt;=小テスト!$C$6,D1743&lt;=小テスト!$E$6),1,0)</f>
        <v>1</v>
      </c>
      <c r="D1743" s="44">
        <f t="shared" si="79"/>
        <v>1742</v>
      </c>
      <c r="E1743" s="45" t="s">
        <v>1906</v>
      </c>
      <c r="F1743" s="46" t="s">
        <v>3652</v>
      </c>
    </row>
    <row r="1744" spans="1:6" ht="17">
      <c r="A1744" s="15">
        <f t="shared" ca="1" si="80"/>
        <v>77</v>
      </c>
      <c r="B1744" s="16">
        <f t="shared" ca="1" si="81"/>
        <v>0.96407196612111357</v>
      </c>
      <c r="C1744" s="17">
        <f>IF(AND(問題解答データベース!D1744&gt;=小テスト!$C$6,D1744&lt;=小テスト!$E$6),1,0)</f>
        <v>1</v>
      </c>
      <c r="D1744" s="44">
        <f t="shared" si="79"/>
        <v>1743</v>
      </c>
      <c r="E1744" s="45" t="s">
        <v>1907</v>
      </c>
      <c r="F1744" s="46" t="s">
        <v>3653</v>
      </c>
    </row>
    <row r="1745" spans="1:6" ht="17">
      <c r="A1745" s="15">
        <f t="shared" ca="1" si="80"/>
        <v>1738</v>
      </c>
      <c r="B1745" s="16">
        <f t="shared" ca="1" si="81"/>
        <v>8.0303340277942947E-2</v>
      </c>
      <c r="C1745" s="17">
        <f>IF(AND(問題解答データベース!D1745&gt;=小テスト!$C$6,D1745&lt;=小テスト!$E$6),1,0)</f>
        <v>1</v>
      </c>
      <c r="D1745" s="44">
        <f t="shared" si="79"/>
        <v>1744</v>
      </c>
      <c r="E1745" s="45" t="s">
        <v>1908</v>
      </c>
      <c r="F1745" s="46" t="s">
        <v>3654</v>
      </c>
    </row>
    <row r="1746" spans="1:6" ht="17">
      <c r="A1746" s="15">
        <f t="shared" ca="1" si="80"/>
        <v>286</v>
      </c>
      <c r="B1746" s="16">
        <f t="shared" ca="1" si="81"/>
        <v>0.85292133176296925</v>
      </c>
      <c r="C1746" s="17">
        <f>IF(AND(問題解答データベース!D1746&gt;=小テスト!$C$6,D1746&lt;=小テスト!$E$6),1,0)</f>
        <v>1</v>
      </c>
      <c r="D1746" s="44">
        <f t="shared" si="79"/>
        <v>1745</v>
      </c>
      <c r="E1746" s="45" t="s">
        <v>1909</v>
      </c>
      <c r="F1746" s="46" t="s">
        <v>3655</v>
      </c>
    </row>
    <row r="1747" spans="1:6" ht="17">
      <c r="A1747" s="15">
        <f t="shared" ca="1" si="80"/>
        <v>1757</v>
      </c>
      <c r="B1747" s="16">
        <f t="shared" ca="1" si="81"/>
        <v>6.9793754737833336E-2</v>
      </c>
      <c r="C1747" s="17">
        <f>IF(AND(問題解答データベース!D1747&gt;=小テスト!$C$6,D1747&lt;=小テスト!$E$6),1,0)</f>
        <v>1</v>
      </c>
      <c r="D1747" s="44">
        <f t="shared" si="79"/>
        <v>1746</v>
      </c>
      <c r="E1747" s="45" t="s">
        <v>1910</v>
      </c>
      <c r="F1747" s="46" t="s">
        <v>3656</v>
      </c>
    </row>
    <row r="1748" spans="1:6" ht="17">
      <c r="A1748" s="15">
        <f t="shared" ca="1" si="80"/>
        <v>930</v>
      </c>
      <c r="B1748" s="16">
        <f t="shared" ca="1" si="81"/>
        <v>0.5111122713050974</v>
      </c>
      <c r="C1748" s="17">
        <f>IF(AND(問題解答データベース!D1748&gt;=小テスト!$C$6,D1748&lt;=小テスト!$E$6),1,0)</f>
        <v>1</v>
      </c>
      <c r="D1748" s="44">
        <f t="shared" si="79"/>
        <v>1747</v>
      </c>
      <c r="E1748" s="45" t="s">
        <v>1911</v>
      </c>
      <c r="F1748" s="46" t="s">
        <v>3657</v>
      </c>
    </row>
    <row r="1749" spans="1:6" ht="17">
      <c r="A1749" s="15">
        <f t="shared" ca="1" si="80"/>
        <v>142</v>
      </c>
      <c r="B1749" s="16">
        <f t="shared" ca="1" si="81"/>
        <v>0.93066200976292468</v>
      </c>
      <c r="C1749" s="17">
        <f>IF(AND(問題解答データベース!D1749&gt;=小テスト!$C$6,D1749&lt;=小テスト!$E$6),1,0)</f>
        <v>1</v>
      </c>
      <c r="D1749" s="44">
        <f t="shared" si="79"/>
        <v>1748</v>
      </c>
      <c r="E1749" s="45" t="s">
        <v>1912</v>
      </c>
      <c r="F1749" s="46" t="s">
        <v>3658</v>
      </c>
    </row>
    <row r="1750" spans="1:6" ht="17">
      <c r="A1750" s="15">
        <f t="shared" ca="1" si="80"/>
        <v>733</v>
      </c>
      <c r="B1750" s="16">
        <f t="shared" ca="1" si="81"/>
        <v>0.61035987596286334</v>
      </c>
      <c r="C1750" s="17">
        <f>IF(AND(問題解答データベース!D1750&gt;=小テスト!$C$6,D1750&lt;=小テスト!$E$6),1,0)</f>
        <v>1</v>
      </c>
      <c r="D1750" s="44">
        <f t="shared" si="79"/>
        <v>1749</v>
      </c>
      <c r="E1750" s="45" t="s">
        <v>1913</v>
      </c>
      <c r="F1750" s="46" t="s">
        <v>3659</v>
      </c>
    </row>
    <row r="1751" spans="1:6" ht="17">
      <c r="A1751" s="15">
        <f t="shared" ca="1" si="80"/>
        <v>257</v>
      </c>
      <c r="B1751" s="16">
        <f t="shared" ca="1" si="81"/>
        <v>0.86611977964140874</v>
      </c>
      <c r="C1751" s="17">
        <f>IF(AND(問題解答データベース!D1751&gt;=小テスト!$C$6,D1751&lt;=小テスト!$E$6),1,0)</f>
        <v>1</v>
      </c>
      <c r="D1751" s="44">
        <f t="shared" si="79"/>
        <v>1750</v>
      </c>
      <c r="E1751" s="45" t="s">
        <v>1914</v>
      </c>
      <c r="F1751" s="46" t="s">
        <v>3660</v>
      </c>
    </row>
    <row r="1752" spans="1:6" ht="17">
      <c r="A1752" s="15">
        <f t="shared" ca="1" si="80"/>
        <v>886</v>
      </c>
      <c r="B1752" s="16">
        <f t="shared" ca="1" si="81"/>
        <v>0.53149571453338351</v>
      </c>
      <c r="C1752" s="17">
        <f>IF(AND(問題解答データベース!D1752&gt;=小テスト!$C$6,D1752&lt;=小テスト!$E$6),1,0)</f>
        <v>1</v>
      </c>
      <c r="D1752" s="44">
        <f t="shared" si="79"/>
        <v>1751</v>
      </c>
      <c r="E1752" s="45" t="s">
        <v>1915</v>
      </c>
      <c r="F1752" s="46" t="s">
        <v>3661</v>
      </c>
    </row>
    <row r="1753" spans="1:6" ht="17">
      <c r="A1753" s="15">
        <f t="shared" ca="1" si="80"/>
        <v>47</v>
      </c>
      <c r="B1753" s="16">
        <f t="shared" ca="1" si="81"/>
        <v>0.9738251584433737</v>
      </c>
      <c r="C1753" s="17">
        <f>IF(AND(問題解答データベース!D1753&gt;=小テスト!$C$6,D1753&lt;=小テスト!$E$6),1,0)</f>
        <v>1</v>
      </c>
      <c r="D1753" s="44">
        <f t="shared" si="79"/>
        <v>1752</v>
      </c>
      <c r="E1753" s="45" t="s">
        <v>1916</v>
      </c>
      <c r="F1753" s="46" t="s">
        <v>3662</v>
      </c>
    </row>
    <row r="1754" spans="1:6" ht="17">
      <c r="A1754" s="15">
        <f t="shared" ca="1" si="80"/>
        <v>24</v>
      </c>
      <c r="B1754" s="16">
        <f t="shared" ca="1" si="81"/>
        <v>0.98970846369212184</v>
      </c>
      <c r="C1754" s="17">
        <f>IF(AND(問題解答データベース!D1754&gt;=小テスト!$C$6,D1754&lt;=小テスト!$E$6),1,0)</f>
        <v>1</v>
      </c>
      <c r="D1754" s="44">
        <f t="shared" si="79"/>
        <v>1753</v>
      </c>
      <c r="E1754" s="45" t="s">
        <v>1917</v>
      </c>
      <c r="F1754" s="46" t="s">
        <v>3663</v>
      </c>
    </row>
    <row r="1755" spans="1:6" ht="17">
      <c r="A1755" s="15">
        <f t="shared" ca="1" si="80"/>
        <v>840</v>
      </c>
      <c r="B1755" s="16">
        <f t="shared" ca="1" si="81"/>
        <v>0.55266505536564436</v>
      </c>
      <c r="C1755" s="17">
        <f>IF(AND(問題解答データベース!D1755&gt;=小テスト!$C$6,D1755&lt;=小テスト!$E$6),1,0)</f>
        <v>1</v>
      </c>
      <c r="D1755" s="44">
        <f t="shared" si="79"/>
        <v>1754</v>
      </c>
      <c r="E1755" s="45" t="s">
        <v>1918</v>
      </c>
      <c r="F1755" s="46" t="s">
        <v>3664</v>
      </c>
    </row>
    <row r="1756" spans="1:6" ht="17">
      <c r="A1756" s="15">
        <f t="shared" ca="1" si="80"/>
        <v>811</v>
      </c>
      <c r="B1756" s="16">
        <f t="shared" ca="1" si="81"/>
        <v>0.57044862564195042</v>
      </c>
      <c r="C1756" s="17">
        <f>IF(AND(問題解答データベース!D1756&gt;=小テスト!$C$6,D1756&lt;=小テスト!$E$6),1,0)</f>
        <v>1</v>
      </c>
      <c r="D1756" s="44">
        <f t="shared" ref="D1756:D1800" si="82">D1755+1</f>
        <v>1755</v>
      </c>
      <c r="E1756" s="45" t="s">
        <v>1919</v>
      </c>
      <c r="F1756" s="46" t="s">
        <v>3665</v>
      </c>
    </row>
    <row r="1757" spans="1:6" ht="17">
      <c r="A1757" s="15">
        <f t="shared" ca="1" si="80"/>
        <v>320</v>
      </c>
      <c r="B1757" s="16">
        <f t="shared" ca="1" si="81"/>
        <v>0.82847346303868963</v>
      </c>
      <c r="C1757" s="17">
        <f>IF(AND(問題解答データベース!D1757&gt;=小テスト!$C$6,D1757&lt;=小テスト!$E$6),1,0)</f>
        <v>1</v>
      </c>
      <c r="D1757" s="44">
        <f t="shared" si="82"/>
        <v>1756</v>
      </c>
      <c r="E1757" s="45" t="s">
        <v>1920</v>
      </c>
      <c r="F1757" s="46" t="s">
        <v>3666</v>
      </c>
    </row>
    <row r="1758" spans="1:6" ht="17">
      <c r="A1758" s="15">
        <f t="shared" ca="1" si="80"/>
        <v>1655</v>
      </c>
      <c r="B1758" s="16">
        <f t="shared" ca="1" si="81"/>
        <v>0.12585351862992056</v>
      </c>
      <c r="C1758" s="17">
        <f>IF(AND(問題解答データベース!D1758&gt;=小テスト!$C$6,D1758&lt;=小テスト!$E$6),1,0)</f>
        <v>1</v>
      </c>
      <c r="D1758" s="44">
        <f t="shared" si="82"/>
        <v>1757</v>
      </c>
      <c r="E1758" s="45" t="s">
        <v>1921</v>
      </c>
      <c r="F1758" s="46" t="s">
        <v>3667</v>
      </c>
    </row>
    <row r="1759" spans="1:6" ht="17">
      <c r="A1759" s="15">
        <f t="shared" ca="1" si="80"/>
        <v>394</v>
      </c>
      <c r="B1759" s="16">
        <f t="shared" ca="1" si="81"/>
        <v>0.78999000709866585</v>
      </c>
      <c r="C1759" s="17">
        <f>IF(AND(問題解答データベース!D1759&gt;=小テスト!$C$6,D1759&lt;=小テスト!$E$6),1,0)</f>
        <v>1</v>
      </c>
      <c r="D1759" s="44">
        <f t="shared" si="82"/>
        <v>1758</v>
      </c>
      <c r="E1759" s="45" t="s">
        <v>1922</v>
      </c>
      <c r="F1759" s="46" t="s">
        <v>3668</v>
      </c>
    </row>
    <row r="1760" spans="1:6" ht="17">
      <c r="A1760" s="15">
        <f t="shared" ca="1" si="80"/>
        <v>1837</v>
      </c>
      <c r="B1760" s="16">
        <f t="shared" ca="1" si="81"/>
        <v>3.091862498457254E-2</v>
      </c>
      <c r="C1760" s="17">
        <f>IF(AND(問題解答データベース!D1760&gt;=小テスト!$C$6,D1760&lt;=小テスト!$E$6),1,0)</f>
        <v>1</v>
      </c>
      <c r="D1760" s="44">
        <f t="shared" si="82"/>
        <v>1759</v>
      </c>
      <c r="E1760" s="45" t="s">
        <v>1923</v>
      </c>
      <c r="F1760" s="46" t="s">
        <v>3669</v>
      </c>
    </row>
    <row r="1761" spans="1:6" ht="17">
      <c r="A1761" s="15">
        <f t="shared" ca="1" si="80"/>
        <v>1763</v>
      </c>
      <c r="B1761" s="16">
        <f t="shared" ca="1" si="81"/>
        <v>6.7401345158246584E-2</v>
      </c>
      <c r="C1761" s="17">
        <f>IF(AND(問題解答データベース!D1761&gt;=小テスト!$C$6,D1761&lt;=小テスト!$E$6),1,0)</f>
        <v>1</v>
      </c>
      <c r="D1761" s="44">
        <f t="shared" si="82"/>
        <v>1760</v>
      </c>
      <c r="E1761" s="45" t="s">
        <v>1924</v>
      </c>
      <c r="F1761" s="46" t="s">
        <v>3670</v>
      </c>
    </row>
    <row r="1762" spans="1:6" ht="17">
      <c r="A1762" s="15">
        <f t="shared" ca="1" si="80"/>
        <v>1806</v>
      </c>
      <c r="B1762" s="16">
        <f t="shared" ca="1" si="81"/>
        <v>4.5286559284992145E-2</v>
      </c>
      <c r="C1762" s="17">
        <f>IF(AND(問題解答データベース!D1762&gt;=小テスト!$C$6,D1762&lt;=小テスト!$E$6),1,0)</f>
        <v>1</v>
      </c>
      <c r="D1762" s="44">
        <f t="shared" si="82"/>
        <v>1761</v>
      </c>
      <c r="E1762" s="45" t="s">
        <v>1925</v>
      </c>
      <c r="F1762" s="46" t="s">
        <v>3671</v>
      </c>
    </row>
    <row r="1763" spans="1:6" ht="17">
      <c r="A1763" s="15">
        <f t="shared" ca="1" si="80"/>
        <v>1578</v>
      </c>
      <c r="B1763" s="16">
        <f t="shared" ca="1" si="81"/>
        <v>0.16594324557495932</v>
      </c>
      <c r="C1763" s="17">
        <f>IF(AND(問題解答データベース!D1763&gt;=小テスト!$C$6,D1763&lt;=小テスト!$E$6),1,0)</f>
        <v>1</v>
      </c>
      <c r="D1763" s="44">
        <f t="shared" si="82"/>
        <v>1762</v>
      </c>
      <c r="E1763" s="45" t="s">
        <v>1926</v>
      </c>
      <c r="F1763" s="46" t="s">
        <v>3672</v>
      </c>
    </row>
    <row r="1764" spans="1:6" ht="17">
      <c r="A1764" s="15">
        <f t="shared" ca="1" si="80"/>
        <v>1239</v>
      </c>
      <c r="B1764" s="16">
        <f t="shared" ca="1" si="81"/>
        <v>0.35703637466531846</v>
      </c>
      <c r="C1764" s="17">
        <f>IF(AND(問題解答データベース!D1764&gt;=小テスト!$C$6,D1764&lt;=小テスト!$E$6),1,0)</f>
        <v>1</v>
      </c>
      <c r="D1764" s="44">
        <f t="shared" si="82"/>
        <v>1763</v>
      </c>
      <c r="E1764" s="45" t="s">
        <v>1927</v>
      </c>
      <c r="F1764" s="46" t="s">
        <v>3673</v>
      </c>
    </row>
    <row r="1765" spans="1:6" ht="17">
      <c r="A1765" s="15">
        <f t="shared" ca="1" si="80"/>
        <v>1649</v>
      </c>
      <c r="B1765" s="16">
        <f t="shared" ca="1" si="81"/>
        <v>0.12765519041232709</v>
      </c>
      <c r="C1765" s="17">
        <f>IF(AND(問題解答データベース!D1765&gt;=小テスト!$C$6,D1765&lt;=小テスト!$E$6),1,0)</f>
        <v>1</v>
      </c>
      <c r="D1765" s="44">
        <f t="shared" si="82"/>
        <v>1764</v>
      </c>
      <c r="E1765" s="45" t="s">
        <v>1928</v>
      </c>
      <c r="F1765" s="46" t="s">
        <v>3674</v>
      </c>
    </row>
    <row r="1766" spans="1:6" ht="17">
      <c r="A1766" s="15">
        <f t="shared" ca="1" si="80"/>
        <v>1849</v>
      </c>
      <c r="B1766" s="16">
        <f t="shared" ca="1" si="81"/>
        <v>2.4793189308589425E-2</v>
      </c>
      <c r="C1766" s="17">
        <f>IF(AND(問題解答データベース!D1766&gt;=小テスト!$C$6,D1766&lt;=小テスト!$E$6),1,0)</f>
        <v>1</v>
      </c>
      <c r="D1766" s="44">
        <f t="shared" si="82"/>
        <v>1765</v>
      </c>
      <c r="E1766" s="45" t="s">
        <v>1929</v>
      </c>
      <c r="F1766" s="46" t="s">
        <v>3675</v>
      </c>
    </row>
    <row r="1767" spans="1:6" ht="17">
      <c r="A1767" s="15">
        <f t="shared" ca="1" si="80"/>
        <v>646</v>
      </c>
      <c r="B1767" s="16">
        <f t="shared" ca="1" si="81"/>
        <v>0.66009499714279296</v>
      </c>
      <c r="C1767" s="17">
        <f>IF(AND(問題解答データベース!D1767&gt;=小テスト!$C$6,D1767&lt;=小テスト!$E$6),1,0)</f>
        <v>1</v>
      </c>
      <c r="D1767" s="44">
        <f t="shared" si="82"/>
        <v>1766</v>
      </c>
      <c r="E1767" s="45" t="s">
        <v>1930</v>
      </c>
      <c r="F1767" s="46" t="s">
        <v>3676</v>
      </c>
    </row>
    <row r="1768" spans="1:6" ht="17">
      <c r="A1768" s="15">
        <f t="shared" ca="1" si="80"/>
        <v>1660</v>
      </c>
      <c r="B1768" s="16">
        <f t="shared" ca="1" si="81"/>
        <v>0.12373260136015107</v>
      </c>
      <c r="C1768" s="17">
        <f>IF(AND(問題解答データベース!D1768&gt;=小テスト!$C$6,D1768&lt;=小テスト!$E$6),1,0)</f>
        <v>1</v>
      </c>
      <c r="D1768" s="44">
        <f t="shared" si="82"/>
        <v>1767</v>
      </c>
      <c r="E1768" s="45" t="s">
        <v>1931</v>
      </c>
      <c r="F1768" s="46" t="s">
        <v>3677</v>
      </c>
    </row>
    <row r="1769" spans="1:6" ht="17">
      <c r="A1769" s="15">
        <f t="shared" ca="1" si="80"/>
        <v>912</v>
      </c>
      <c r="B1769" s="16">
        <f t="shared" ca="1" si="81"/>
        <v>0.51895708818469211</v>
      </c>
      <c r="C1769" s="17">
        <f>IF(AND(問題解答データベース!D1769&gt;=小テスト!$C$6,D1769&lt;=小テスト!$E$6),1,0)</f>
        <v>1</v>
      </c>
      <c r="D1769" s="44">
        <f t="shared" si="82"/>
        <v>1768</v>
      </c>
      <c r="E1769" s="45" t="s">
        <v>1932</v>
      </c>
      <c r="F1769" s="46" t="s">
        <v>3678</v>
      </c>
    </row>
    <row r="1770" spans="1:6" ht="17">
      <c r="A1770" s="15">
        <f t="shared" ca="1" si="80"/>
        <v>240</v>
      </c>
      <c r="B1770" s="16">
        <f t="shared" ca="1" si="81"/>
        <v>0.87480556287442068</v>
      </c>
      <c r="C1770" s="17">
        <f>IF(AND(問題解答データベース!D1770&gt;=小テスト!$C$6,D1770&lt;=小テスト!$E$6),1,0)</f>
        <v>1</v>
      </c>
      <c r="D1770" s="44">
        <f t="shared" si="82"/>
        <v>1769</v>
      </c>
      <c r="E1770" s="45" t="s">
        <v>1933</v>
      </c>
      <c r="F1770" s="46" t="s">
        <v>3679</v>
      </c>
    </row>
    <row r="1771" spans="1:6" ht="17">
      <c r="A1771" s="15">
        <f t="shared" ca="1" si="80"/>
        <v>789</v>
      </c>
      <c r="B1771" s="16">
        <f t="shared" ca="1" si="81"/>
        <v>0.57952745979229159</v>
      </c>
      <c r="C1771" s="17">
        <f>IF(AND(問題解答データベース!D1771&gt;=小テスト!$C$6,D1771&lt;=小テスト!$E$6),1,0)</f>
        <v>1</v>
      </c>
      <c r="D1771" s="44">
        <f t="shared" si="82"/>
        <v>1770</v>
      </c>
      <c r="E1771" s="45" t="s">
        <v>1934</v>
      </c>
      <c r="F1771" s="46" t="s">
        <v>3680</v>
      </c>
    </row>
    <row r="1772" spans="1:6" ht="17">
      <c r="A1772" s="15">
        <f t="shared" ca="1" si="80"/>
        <v>1315</v>
      </c>
      <c r="B1772" s="16">
        <f t="shared" ca="1" si="81"/>
        <v>0.31120801709425472</v>
      </c>
      <c r="C1772" s="17">
        <f>IF(AND(問題解答データベース!D1772&gt;=小テスト!$C$6,D1772&lt;=小テスト!$E$6),1,0)</f>
        <v>1</v>
      </c>
      <c r="D1772" s="44">
        <f t="shared" si="82"/>
        <v>1771</v>
      </c>
      <c r="E1772" s="45" t="s">
        <v>1935</v>
      </c>
      <c r="F1772" s="46" t="s">
        <v>3681</v>
      </c>
    </row>
    <row r="1773" spans="1:6" ht="17">
      <c r="A1773" s="15">
        <f t="shared" ca="1" si="80"/>
        <v>1284</v>
      </c>
      <c r="B1773" s="16">
        <f t="shared" ca="1" si="81"/>
        <v>0.32933447183765718</v>
      </c>
      <c r="C1773" s="17">
        <f>IF(AND(問題解答データベース!D1773&gt;=小テスト!$C$6,D1773&lt;=小テスト!$E$6),1,0)</f>
        <v>1</v>
      </c>
      <c r="D1773" s="44">
        <f t="shared" si="82"/>
        <v>1772</v>
      </c>
      <c r="E1773" s="45" t="s">
        <v>1936</v>
      </c>
      <c r="F1773" s="46" t="s">
        <v>3682</v>
      </c>
    </row>
    <row r="1774" spans="1:6" ht="17">
      <c r="A1774" s="15">
        <f t="shared" ca="1" si="80"/>
        <v>572</v>
      </c>
      <c r="B1774" s="16">
        <f t="shared" ca="1" si="81"/>
        <v>0.70215407321677514</v>
      </c>
      <c r="C1774" s="17">
        <f>IF(AND(問題解答データベース!D1774&gt;=小テスト!$C$6,D1774&lt;=小テスト!$E$6),1,0)</f>
        <v>1</v>
      </c>
      <c r="D1774" s="44">
        <f t="shared" si="82"/>
        <v>1773</v>
      </c>
      <c r="E1774" s="45" t="s">
        <v>1937</v>
      </c>
      <c r="F1774" s="46" t="s">
        <v>3683</v>
      </c>
    </row>
    <row r="1775" spans="1:6" ht="17">
      <c r="A1775" s="15">
        <f t="shared" ca="1" si="80"/>
        <v>1600</v>
      </c>
      <c r="B1775" s="16">
        <f t="shared" ca="1" si="81"/>
        <v>0.15602998063168227</v>
      </c>
      <c r="C1775" s="17">
        <f>IF(AND(問題解答データベース!D1775&gt;=小テスト!$C$6,D1775&lt;=小テスト!$E$6),1,0)</f>
        <v>1</v>
      </c>
      <c r="D1775" s="44">
        <f t="shared" si="82"/>
        <v>1774</v>
      </c>
      <c r="E1775" s="45" t="s">
        <v>1938</v>
      </c>
      <c r="F1775" s="46" t="s">
        <v>3684</v>
      </c>
    </row>
    <row r="1776" spans="1:6" ht="17">
      <c r="A1776" s="15">
        <f t="shared" ca="1" si="80"/>
        <v>796</v>
      </c>
      <c r="B1776" s="16">
        <f t="shared" ca="1" si="81"/>
        <v>0.57800695370138233</v>
      </c>
      <c r="C1776" s="17">
        <f>IF(AND(問題解答データベース!D1776&gt;=小テスト!$C$6,D1776&lt;=小テスト!$E$6),1,0)</f>
        <v>1</v>
      </c>
      <c r="D1776" s="44">
        <f t="shared" si="82"/>
        <v>1775</v>
      </c>
      <c r="E1776" s="45" t="s">
        <v>1939</v>
      </c>
      <c r="F1776" s="46" t="s">
        <v>3685</v>
      </c>
    </row>
    <row r="1777" spans="1:6" ht="17">
      <c r="A1777" s="15">
        <f t="shared" ca="1" si="80"/>
        <v>827</v>
      </c>
      <c r="B1777" s="16">
        <f t="shared" ca="1" si="81"/>
        <v>0.55917383459714476</v>
      </c>
      <c r="C1777" s="17">
        <f>IF(AND(問題解答データベース!D1777&gt;=小テスト!$C$6,D1777&lt;=小テスト!$E$6),1,0)</f>
        <v>1</v>
      </c>
      <c r="D1777" s="44">
        <f t="shared" si="82"/>
        <v>1776</v>
      </c>
      <c r="E1777" s="45" t="s">
        <v>1940</v>
      </c>
      <c r="F1777" s="46" t="s">
        <v>3686</v>
      </c>
    </row>
    <row r="1778" spans="1:6" ht="17">
      <c r="A1778" s="15">
        <f t="shared" ca="1" si="80"/>
        <v>238</v>
      </c>
      <c r="B1778" s="16">
        <f t="shared" ca="1" si="81"/>
        <v>0.87575349975015382</v>
      </c>
      <c r="C1778" s="17">
        <f>IF(AND(問題解答データベース!D1778&gt;=小テスト!$C$6,D1778&lt;=小テスト!$E$6),1,0)</f>
        <v>1</v>
      </c>
      <c r="D1778" s="44">
        <f t="shared" si="82"/>
        <v>1777</v>
      </c>
      <c r="E1778" s="45" t="s">
        <v>1941</v>
      </c>
      <c r="F1778" s="46" t="s">
        <v>3687</v>
      </c>
    </row>
    <row r="1779" spans="1:6" ht="17">
      <c r="A1779" s="15">
        <f t="shared" ca="1" si="80"/>
        <v>785</v>
      </c>
      <c r="B1779" s="16">
        <f t="shared" ca="1" si="81"/>
        <v>0.58395637006225498</v>
      </c>
      <c r="C1779" s="17">
        <f>IF(AND(問題解答データベース!D1779&gt;=小テスト!$C$6,D1779&lt;=小テスト!$E$6),1,0)</f>
        <v>1</v>
      </c>
      <c r="D1779" s="44">
        <f t="shared" si="82"/>
        <v>1778</v>
      </c>
      <c r="E1779" s="45" t="s">
        <v>1942</v>
      </c>
      <c r="F1779" s="46" t="s">
        <v>3688</v>
      </c>
    </row>
    <row r="1780" spans="1:6" ht="17">
      <c r="A1780" s="15">
        <f t="shared" ca="1" si="80"/>
        <v>9</v>
      </c>
      <c r="B1780" s="16">
        <f t="shared" ca="1" si="81"/>
        <v>0.99610161348941217</v>
      </c>
      <c r="C1780" s="17">
        <f>IF(AND(問題解答データベース!D1780&gt;=小テスト!$C$6,D1780&lt;=小テスト!$E$6),1,0)</f>
        <v>1</v>
      </c>
      <c r="D1780" s="44">
        <f t="shared" si="82"/>
        <v>1779</v>
      </c>
      <c r="E1780" s="45" t="s">
        <v>1943</v>
      </c>
      <c r="F1780" s="46" t="s">
        <v>3689</v>
      </c>
    </row>
    <row r="1781" spans="1:6" ht="17">
      <c r="A1781" s="15">
        <f t="shared" ca="1" si="80"/>
        <v>1756</v>
      </c>
      <c r="B1781" s="16">
        <f t="shared" ca="1" si="81"/>
        <v>7.087471226338915E-2</v>
      </c>
      <c r="C1781" s="17">
        <f>IF(AND(問題解答データベース!D1781&gt;=小テスト!$C$6,D1781&lt;=小テスト!$E$6),1,0)</f>
        <v>1</v>
      </c>
      <c r="D1781" s="44">
        <f t="shared" si="82"/>
        <v>1780</v>
      </c>
      <c r="E1781" s="45" t="s">
        <v>1944</v>
      </c>
      <c r="F1781" s="46" t="s">
        <v>3690</v>
      </c>
    </row>
    <row r="1782" spans="1:6" ht="17">
      <c r="A1782" s="15">
        <f t="shared" ca="1" si="80"/>
        <v>600</v>
      </c>
      <c r="B1782" s="16">
        <f t="shared" ca="1" si="81"/>
        <v>0.68326287800022611</v>
      </c>
      <c r="C1782" s="17">
        <f>IF(AND(問題解答データベース!D1782&gt;=小テスト!$C$6,D1782&lt;=小テスト!$E$6),1,0)</f>
        <v>1</v>
      </c>
      <c r="D1782" s="44">
        <f t="shared" si="82"/>
        <v>1781</v>
      </c>
      <c r="E1782" s="45" t="s">
        <v>1945</v>
      </c>
      <c r="F1782" s="46" t="s">
        <v>3691</v>
      </c>
    </row>
    <row r="1783" spans="1:6" ht="17">
      <c r="A1783" s="15">
        <f t="shared" ca="1" si="80"/>
        <v>1845</v>
      </c>
      <c r="B1783" s="16">
        <f t="shared" ca="1" si="81"/>
        <v>2.824315278117262E-2</v>
      </c>
      <c r="C1783" s="17">
        <f>IF(AND(問題解答データベース!D1783&gt;=小テスト!$C$6,D1783&lt;=小テスト!$E$6),1,0)</f>
        <v>1</v>
      </c>
      <c r="D1783" s="44">
        <f t="shared" si="82"/>
        <v>1782</v>
      </c>
      <c r="E1783" s="45" t="s">
        <v>1946</v>
      </c>
      <c r="F1783" s="46" t="s">
        <v>3692</v>
      </c>
    </row>
    <row r="1784" spans="1:6" ht="17">
      <c r="A1784" s="15">
        <f t="shared" ca="1" si="80"/>
        <v>1069</v>
      </c>
      <c r="B1784" s="16">
        <f t="shared" ca="1" si="81"/>
        <v>0.44153927848236463</v>
      </c>
      <c r="C1784" s="17">
        <f>IF(AND(問題解答データベース!D1784&gt;=小テスト!$C$6,D1784&lt;=小テスト!$E$6),1,0)</f>
        <v>1</v>
      </c>
      <c r="D1784" s="44">
        <f t="shared" si="82"/>
        <v>1783</v>
      </c>
      <c r="E1784" s="45" t="s">
        <v>1947</v>
      </c>
      <c r="F1784" s="46" t="s">
        <v>3693</v>
      </c>
    </row>
    <row r="1785" spans="1:6" ht="17">
      <c r="A1785" s="15">
        <f t="shared" ca="1" si="80"/>
        <v>1732</v>
      </c>
      <c r="B1785" s="16">
        <f t="shared" ca="1" si="81"/>
        <v>8.380761900824818E-2</v>
      </c>
      <c r="C1785" s="17">
        <f>IF(AND(問題解答データベース!D1785&gt;=小テスト!$C$6,D1785&lt;=小テスト!$E$6),1,0)</f>
        <v>1</v>
      </c>
      <c r="D1785" s="44">
        <f t="shared" si="82"/>
        <v>1784</v>
      </c>
      <c r="E1785" s="45" t="s">
        <v>1948</v>
      </c>
      <c r="F1785" s="46" t="s">
        <v>3694</v>
      </c>
    </row>
    <row r="1786" spans="1:6" ht="17">
      <c r="A1786" s="15">
        <f t="shared" ca="1" si="80"/>
        <v>1812</v>
      </c>
      <c r="B1786" s="16">
        <f t="shared" ca="1" si="81"/>
        <v>4.2017929395718245E-2</v>
      </c>
      <c r="C1786" s="17">
        <f>IF(AND(問題解答データベース!D1786&gt;=小テスト!$C$6,D1786&lt;=小テスト!$E$6),1,0)</f>
        <v>1</v>
      </c>
      <c r="D1786" s="44">
        <f t="shared" si="82"/>
        <v>1785</v>
      </c>
      <c r="E1786" s="45" t="s">
        <v>1949</v>
      </c>
      <c r="F1786" s="46" t="s">
        <v>3695</v>
      </c>
    </row>
    <row r="1787" spans="1:6" ht="17">
      <c r="A1787" s="15">
        <f t="shared" ca="1" si="80"/>
        <v>182</v>
      </c>
      <c r="B1787" s="16">
        <f t="shared" ca="1" si="81"/>
        <v>0.91205773487957387</v>
      </c>
      <c r="C1787" s="17">
        <f>IF(AND(問題解答データベース!D1787&gt;=小テスト!$C$6,D1787&lt;=小テスト!$E$6),1,0)</f>
        <v>1</v>
      </c>
      <c r="D1787" s="44">
        <f t="shared" si="82"/>
        <v>1786</v>
      </c>
      <c r="E1787" s="45" t="s">
        <v>1950</v>
      </c>
      <c r="F1787" s="46" t="s">
        <v>3696</v>
      </c>
    </row>
    <row r="1788" spans="1:6" ht="17">
      <c r="A1788" s="15">
        <f t="shared" ca="1" si="80"/>
        <v>1155</v>
      </c>
      <c r="B1788" s="16">
        <f t="shared" ca="1" si="81"/>
        <v>0.39345511943422806</v>
      </c>
      <c r="C1788" s="17">
        <f>IF(AND(問題解答データベース!D1788&gt;=小テスト!$C$6,D1788&lt;=小テスト!$E$6),1,0)</f>
        <v>1</v>
      </c>
      <c r="D1788" s="44">
        <f t="shared" si="82"/>
        <v>1787</v>
      </c>
      <c r="E1788" s="45" t="s">
        <v>1951</v>
      </c>
      <c r="F1788" s="46" t="s">
        <v>3697</v>
      </c>
    </row>
    <row r="1789" spans="1:6" ht="17">
      <c r="A1789" s="15">
        <f t="shared" ca="1" si="80"/>
        <v>155</v>
      </c>
      <c r="B1789" s="16">
        <f t="shared" ca="1" si="81"/>
        <v>0.92257281146082182</v>
      </c>
      <c r="C1789" s="17">
        <f>IF(AND(問題解答データベース!D1789&gt;=小テスト!$C$6,D1789&lt;=小テスト!$E$6),1,0)</f>
        <v>1</v>
      </c>
      <c r="D1789" s="44">
        <f t="shared" si="82"/>
        <v>1788</v>
      </c>
      <c r="E1789" s="45" t="s">
        <v>1952</v>
      </c>
      <c r="F1789" s="46" t="s">
        <v>3698</v>
      </c>
    </row>
    <row r="1790" spans="1:6" ht="17">
      <c r="A1790" s="15">
        <f t="shared" ca="1" si="80"/>
        <v>1233</v>
      </c>
      <c r="B1790" s="16">
        <f t="shared" ca="1" si="81"/>
        <v>0.35868953334429587</v>
      </c>
      <c r="C1790" s="17">
        <f>IF(AND(問題解答データベース!D1790&gt;=小テスト!$C$6,D1790&lt;=小テスト!$E$6),1,0)</f>
        <v>1</v>
      </c>
      <c r="D1790" s="44">
        <f t="shared" si="82"/>
        <v>1789</v>
      </c>
      <c r="E1790" s="45" t="s">
        <v>1953</v>
      </c>
      <c r="F1790" s="46" t="s">
        <v>3699</v>
      </c>
    </row>
    <row r="1791" spans="1:6" ht="17">
      <c r="A1791" s="15">
        <f t="shared" ca="1" si="80"/>
        <v>1140</v>
      </c>
      <c r="B1791" s="16">
        <f t="shared" ca="1" si="81"/>
        <v>0.40309683297100773</v>
      </c>
      <c r="C1791" s="17">
        <f>IF(AND(問題解答データベース!D1791&gt;=小テスト!$C$6,D1791&lt;=小テスト!$E$6),1,0)</f>
        <v>1</v>
      </c>
      <c r="D1791" s="44">
        <f t="shared" si="82"/>
        <v>1790</v>
      </c>
      <c r="E1791" s="45" t="s">
        <v>1954</v>
      </c>
      <c r="F1791" s="46" t="s">
        <v>3700</v>
      </c>
    </row>
    <row r="1792" spans="1:6" ht="17">
      <c r="A1792" s="15">
        <f t="shared" ca="1" si="80"/>
        <v>729</v>
      </c>
      <c r="B1792" s="16">
        <f t="shared" ca="1" si="81"/>
        <v>0.61263640891370885</v>
      </c>
      <c r="C1792" s="17">
        <f>IF(AND(問題解答データベース!D1792&gt;=小テスト!$C$6,D1792&lt;=小テスト!$E$6),1,0)</f>
        <v>1</v>
      </c>
      <c r="D1792" s="44">
        <f t="shared" si="82"/>
        <v>1791</v>
      </c>
      <c r="E1792" s="45" t="s">
        <v>1955</v>
      </c>
      <c r="F1792" s="46" t="s">
        <v>3701</v>
      </c>
    </row>
    <row r="1793" spans="1:6" ht="17">
      <c r="A1793" s="15">
        <f t="shared" ca="1" si="80"/>
        <v>228</v>
      </c>
      <c r="B1793" s="16">
        <f t="shared" ca="1" si="81"/>
        <v>0.88506613042254045</v>
      </c>
      <c r="C1793" s="17">
        <f>IF(AND(問題解答データベース!D1793&gt;=小テスト!$C$6,D1793&lt;=小テスト!$E$6),1,0)</f>
        <v>1</v>
      </c>
      <c r="D1793" s="44">
        <f t="shared" si="82"/>
        <v>1792</v>
      </c>
      <c r="E1793" s="45" t="s">
        <v>1956</v>
      </c>
      <c r="F1793" s="46" t="s">
        <v>3702</v>
      </c>
    </row>
    <row r="1794" spans="1:6" ht="17">
      <c r="A1794" s="15">
        <f t="shared" ca="1" si="80"/>
        <v>1198</v>
      </c>
      <c r="B1794" s="16">
        <f t="shared" ca="1" si="81"/>
        <v>0.36868752228023205</v>
      </c>
      <c r="C1794" s="17">
        <f>IF(AND(問題解答データベース!D1794&gt;=小テスト!$C$6,D1794&lt;=小テスト!$E$6),1,0)</f>
        <v>1</v>
      </c>
      <c r="D1794" s="44">
        <f t="shared" si="82"/>
        <v>1793</v>
      </c>
      <c r="E1794" s="45" t="s">
        <v>1957</v>
      </c>
      <c r="F1794" s="46" t="s">
        <v>3703</v>
      </c>
    </row>
    <row r="1795" spans="1:6" ht="17">
      <c r="A1795" s="15">
        <f t="shared" ref="A1795:A1858" ca="1" si="83">RANK(B1795,$B$2:$B$1901,0)</f>
        <v>1125</v>
      </c>
      <c r="B1795" s="16">
        <f t="shared" ca="1" si="81"/>
        <v>0.41248070660017366</v>
      </c>
      <c r="C1795" s="17">
        <f>IF(AND(問題解答データベース!D1795&gt;=小テスト!$C$6,D1795&lt;=小テスト!$E$6),1,0)</f>
        <v>1</v>
      </c>
      <c r="D1795" s="44">
        <f t="shared" si="82"/>
        <v>1794</v>
      </c>
      <c r="E1795" s="45" t="s">
        <v>1958</v>
      </c>
      <c r="F1795" s="46" t="s">
        <v>3704</v>
      </c>
    </row>
    <row r="1796" spans="1:6" ht="17">
      <c r="A1796" s="15">
        <f t="shared" ca="1" si="83"/>
        <v>1304</v>
      </c>
      <c r="B1796" s="16">
        <f t="shared" ca="1" si="81"/>
        <v>0.3193772198863013</v>
      </c>
      <c r="C1796" s="17">
        <f>IF(AND(問題解答データベース!D1796&gt;=小テスト!$C$6,D1796&lt;=小テスト!$E$6),1,0)</f>
        <v>1</v>
      </c>
      <c r="D1796" s="44">
        <f t="shared" si="82"/>
        <v>1795</v>
      </c>
      <c r="E1796" s="45" t="s">
        <v>1959</v>
      </c>
      <c r="F1796" s="46" t="s">
        <v>3705</v>
      </c>
    </row>
    <row r="1797" spans="1:6" ht="17">
      <c r="A1797" s="15">
        <f t="shared" ca="1" si="83"/>
        <v>156</v>
      </c>
      <c r="B1797" s="16">
        <f t="shared" ca="1" si="81"/>
        <v>0.92255214582231881</v>
      </c>
      <c r="C1797" s="17">
        <f>IF(AND(問題解答データベース!D1797&gt;=小テスト!$C$6,D1797&lt;=小テスト!$E$6),1,0)</f>
        <v>1</v>
      </c>
      <c r="D1797" s="44">
        <f t="shared" si="82"/>
        <v>1796</v>
      </c>
      <c r="E1797" s="45" t="s">
        <v>1960</v>
      </c>
      <c r="F1797" s="46" t="s">
        <v>3706</v>
      </c>
    </row>
    <row r="1798" spans="1:6" ht="17">
      <c r="A1798" s="15">
        <f t="shared" ca="1" si="83"/>
        <v>1817</v>
      </c>
      <c r="B1798" s="16">
        <f t="shared" ca="1" si="81"/>
        <v>4.0795451389626702E-2</v>
      </c>
      <c r="C1798" s="17">
        <f>IF(AND(問題解答データベース!D1798&gt;=小テスト!$C$6,D1798&lt;=小テスト!$E$6),1,0)</f>
        <v>1</v>
      </c>
      <c r="D1798" s="44">
        <f t="shared" si="82"/>
        <v>1797</v>
      </c>
      <c r="E1798" s="45" t="s">
        <v>1961</v>
      </c>
      <c r="F1798" s="46" t="s">
        <v>3707</v>
      </c>
    </row>
    <row r="1799" spans="1:6" ht="17">
      <c r="A1799" s="15">
        <f t="shared" ca="1" si="83"/>
        <v>1416</v>
      </c>
      <c r="B1799" s="16">
        <f t="shared" ca="1" si="81"/>
        <v>0.25638016855293777</v>
      </c>
      <c r="C1799" s="17">
        <f>IF(AND(問題解答データベース!D1799&gt;=小テスト!$C$6,D1799&lt;=小テスト!$E$6),1,0)</f>
        <v>1</v>
      </c>
      <c r="D1799" s="44">
        <f t="shared" si="82"/>
        <v>1798</v>
      </c>
      <c r="E1799" s="45" t="s">
        <v>1962</v>
      </c>
      <c r="F1799" s="46" t="s">
        <v>3708</v>
      </c>
    </row>
    <row r="1800" spans="1:6" ht="17">
      <c r="A1800" s="15">
        <f t="shared" ca="1" si="83"/>
        <v>462</v>
      </c>
      <c r="B1800" s="16">
        <f t="shared" ca="1" si="81"/>
        <v>0.76079915903576967</v>
      </c>
      <c r="C1800" s="17">
        <f>IF(AND(問題解答データベース!D1800&gt;=小テスト!$C$6,D1800&lt;=小テスト!$E$6),1,0)</f>
        <v>1</v>
      </c>
      <c r="D1800" s="44">
        <f t="shared" si="82"/>
        <v>1799</v>
      </c>
      <c r="E1800" s="45" t="s">
        <v>1963</v>
      </c>
      <c r="F1800" s="46" t="s">
        <v>3709</v>
      </c>
    </row>
    <row r="1801" spans="1:6" ht="17">
      <c r="A1801" s="15">
        <f t="shared" ca="1" si="83"/>
        <v>72</v>
      </c>
      <c r="B1801" s="16">
        <f t="shared" ca="1" si="81"/>
        <v>0.96491883173645199</v>
      </c>
      <c r="C1801" s="17">
        <f>IF(AND(問題解答データベース!D1801&gt;=小テスト!$C$6,D1801&lt;=小テスト!$E$6),1,0)</f>
        <v>1</v>
      </c>
      <c r="D1801" s="44">
        <f>D1800+1</f>
        <v>1800</v>
      </c>
      <c r="E1801" s="45" t="s">
        <v>1964</v>
      </c>
      <c r="F1801" s="46" t="s">
        <v>3710</v>
      </c>
    </row>
    <row r="1802" spans="1:6" ht="17">
      <c r="A1802" s="15">
        <f t="shared" ca="1" si="83"/>
        <v>474</v>
      </c>
      <c r="B1802" s="16">
        <f t="shared" ref="B1802:B1865" ca="1" si="84">IF(C1802=1,RAND(),0)</f>
        <v>0.75601013457416322</v>
      </c>
      <c r="C1802" s="17">
        <f>IF(AND(問題解答データベース!D1802&gt;=小テスト!$C$6,D1802&lt;=小テスト!$E$6),1,0)</f>
        <v>1</v>
      </c>
      <c r="D1802" s="44">
        <f t="shared" ref="D1802:D1829" si="85">D1801+1</f>
        <v>1801</v>
      </c>
      <c r="E1802" s="45" t="s">
        <v>1965</v>
      </c>
      <c r="F1802" s="46" t="s">
        <v>3711</v>
      </c>
    </row>
    <row r="1803" spans="1:6" ht="17">
      <c r="A1803" s="15">
        <f t="shared" ca="1" si="83"/>
        <v>1302</v>
      </c>
      <c r="B1803" s="16">
        <f t="shared" ca="1" si="84"/>
        <v>0.32058715543462513</v>
      </c>
      <c r="C1803" s="17">
        <f>IF(AND(問題解答データベース!D1803&gt;=小テスト!$C$6,D1803&lt;=小テスト!$E$6),1,0)</f>
        <v>1</v>
      </c>
      <c r="D1803" s="44">
        <f t="shared" si="85"/>
        <v>1802</v>
      </c>
      <c r="E1803" s="45" t="s">
        <v>1966</v>
      </c>
      <c r="F1803" s="46" t="s">
        <v>3712</v>
      </c>
    </row>
    <row r="1804" spans="1:6" ht="17">
      <c r="A1804" s="15">
        <f t="shared" ca="1" si="83"/>
        <v>1393</v>
      </c>
      <c r="B1804" s="16">
        <f t="shared" ca="1" si="84"/>
        <v>0.2687851124922076</v>
      </c>
      <c r="C1804" s="17">
        <f>IF(AND(問題解答データベース!D1804&gt;=小テスト!$C$6,D1804&lt;=小テスト!$E$6),1,0)</f>
        <v>1</v>
      </c>
      <c r="D1804" s="44">
        <f t="shared" si="85"/>
        <v>1803</v>
      </c>
      <c r="E1804" s="45" t="s">
        <v>1967</v>
      </c>
      <c r="F1804" s="46" t="s">
        <v>3713</v>
      </c>
    </row>
    <row r="1805" spans="1:6" ht="17">
      <c r="A1805" s="15">
        <f t="shared" ca="1" si="83"/>
        <v>1582</v>
      </c>
      <c r="B1805" s="16">
        <f t="shared" ca="1" si="84"/>
        <v>0.16513154275752795</v>
      </c>
      <c r="C1805" s="17">
        <f>IF(AND(問題解答データベース!D1805&gt;=小テスト!$C$6,D1805&lt;=小テスト!$E$6),1,0)</f>
        <v>1</v>
      </c>
      <c r="D1805" s="44">
        <f t="shared" si="85"/>
        <v>1804</v>
      </c>
      <c r="E1805" s="45" t="s">
        <v>1968</v>
      </c>
      <c r="F1805" s="46" t="s">
        <v>3714</v>
      </c>
    </row>
    <row r="1806" spans="1:6" ht="17">
      <c r="A1806" s="15">
        <f t="shared" ca="1" si="83"/>
        <v>202</v>
      </c>
      <c r="B1806" s="16">
        <f t="shared" ca="1" si="84"/>
        <v>0.9017409735464077</v>
      </c>
      <c r="C1806" s="17">
        <f>IF(AND(問題解答データベース!D1806&gt;=小テスト!$C$6,D1806&lt;=小テスト!$E$6),1,0)</f>
        <v>1</v>
      </c>
      <c r="D1806" s="44">
        <f t="shared" si="85"/>
        <v>1805</v>
      </c>
      <c r="E1806" s="45" t="s">
        <v>1969</v>
      </c>
      <c r="F1806" s="46" t="s">
        <v>3715</v>
      </c>
    </row>
    <row r="1807" spans="1:6" ht="17">
      <c r="A1807" s="15">
        <f t="shared" ca="1" si="83"/>
        <v>1609</v>
      </c>
      <c r="B1807" s="16">
        <f t="shared" ca="1" si="84"/>
        <v>0.15268578583560422</v>
      </c>
      <c r="C1807" s="17">
        <f>IF(AND(問題解答データベース!D1807&gt;=小テスト!$C$6,D1807&lt;=小テスト!$E$6),1,0)</f>
        <v>1</v>
      </c>
      <c r="D1807" s="44">
        <f t="shared" si="85"/>
        <v>1806</v>
      </c>
      <c r="E1807" s="45" t="s">
        <v>1970</v>
      </c>
      <c r="F1807" s="46" t="s">
        <v>3716</v>
      </c>
    </row>
    <row r="1808" spans="1:6" ht="17">
      <c r="A1808" s="15">
        <f t="shared" ca="1" si="83"/>
        <v>1429</v>
      </c>
      <c r="B1808" s="16">
        <f t="shared" ca="1" si="84"/>
        <v>0.24771456388079893</v>
      </c>
      <c r="C1808" s="17">
        <f>IF(AND(問題解答データベース!D1808&gt;=小テスト!$C$6,D1808&lt;=小テスト!$E$6),1,0)</f>
        <v>1</v>
      </c>
      <c r="D1808" s="44">
        <f t="shared" si="85"/>
        <v>1807</v>
      </c>
      <c r="E1808" s="45" t="s">
        <v>1971</v>
      </c>
      <c r="F1808" s="46" t="s">
        <v>3717</v>
      </c>
    </row>
    <row r="1809" spans="1:6" ht="17">
      <c r="A1809" s="15">
        <f t="shared" ca="1" si="83"/>
        <v>931</v>
      </c>
      <c r="B1809" s="16">
        <f t="shared" ca="1" si="84"/>
        <v>0.51055555580040424</v>
      </c>
      <c r="C1809" s="17">
        <f>IF(AND(問題解答データベース!D1809&gt;=小テスト!$C$6,D1809&lt;=小テスト!$E$6),1,0)</f>
        <v>1</v>
      </c>
      <c r="D1809" s="44">
        <f t="shared" si="85"/>
        <v>1808</v>
      </c>
      <c r="E1809" s="45" t="s">
        <v>1972</v>
      </c>
      <c r="F1809" s="46" t="s">
        <v>3718</v>
      </c>
    </row>
    <row r="1810" spans="1:6" ht="17">
      <c r="A1810" s="15">
        <f t="shared" ca="1" si="83"/>
        <v>263</v>
      </c>
      <c r="B1810" s="16">
        <f t="shared" ca="1" si="84"/>
        <v>0.86318253276111501</v>
      </c>
      <c r="C1810" s="17">
        <f>IF(AND(問題解答データベース!D1810&gt;=小テスト!$C$6,D1810&lt;=小テスト!$E$6),1,0)</f>
        <v>1</v>
      </c>
      <c r="D1810" s="44">
        <f t="shared" si="85"/>
        <v>1809</v>
      </c>
      <c r="E1810" s="45" t="s">
        <v>1973</v>
      </c>
      <c r="F1810" s="46" t="s">
        <v>3719</v>
      </c>
    </row>
    <row r="1811" spans="1:6" ht="17">
      <c r="A1811" s="15">
        <f t="shared" ca="1" si="83"/>
        <v>1095</v>
      </c>
      <c r="B1811" s="16">
        <f t="shared" ca="1" si="84"/>
        <v>0.42578055458870079</v>
      </c>
      <c r="C1811" s="17">
        <f>IF(AND(問題解答データベース!D1811&gt;=小テスト!$C$6,D1811&lt;=小テスト!$E$6),1,0)</f>
        <v>1</v>
      </c>
      <c r="D1811" s="44">
        <f t="shared" si="85"/>
        <v>1810</v>
      </c>
      <c r="E1811" s="45" t="s">
        <v>1974</v>
      </c>
      <c r="F1811" s="46" t="s">
        <v>3720</v>
      </c>
    </row>
    <row r="1812" spans="1:6" ht="17">
      <c r="A1812" s="15">
        <f t="shared" ca="1" si="83"/>
        <v>280</v>
      </c>
      <c r="B1812" s="16">
        <f t="shared" ca="1" si="84"/>
        <v>0.85498577664677589</v>
      </c>
      <c r="C1812" s="17">
        <f>IF(AND(問題解答データベース!D1812&gt;=小テスト!$C$6,D1812&lt;=小テスト!$E$6),1,0)</f>
        <v>1</v>
      </c>
      <c r="D1812" s="44">
        <f t="shared" si="85"/>
        <v>1811</v>
      </c>
      <c r="E1812" s="45" t="s">
        <v>1975</v>
      </c>
      <c r="F1812" s="46" t="s">
        <v>3721</v>
      </c>
    </row>
    <row r="1813" spans="1:6" ht="17">
      <c r="A1813" s="15">
        <f t="shared" ca="1" si="83"/>
        <v>1252</v>
      </c>
      <c r="B1813" s="16">
        <f t="shared" ca="1" si="84"/>
        <v>0.34943601052161055</v>
      </c>
      <c r="C1813" s="17">
        <f>IF(AND(問題解答データベース!D1813&gt;=小テスト!$C$6,D1813&lt;=小テスト!$E$6),1,0)</f>
        <v>1</v>
      </c>
      <c r="D1813" s="44">
        <f t="shared" si="85"/>
        <v>1812</v>
      </c>
      <c r="E1813" s="45" t="s">
        <v>1976</v>
      </c>
      <c r="F1813" s="46" t="s">
        <v>3722</v>
      </c>
    </row>
    <row r="1814" spans="1:6" ht="17">
      <c r="A1814" s="15">
        <f t="shared" ca="1" si="83"/>
        <v>154</v>
      </c>
      <c r="B1814" s="16">
        <f t="shared" ca="1" si="84"/>
        <v>0.92277206118154542</v>
      </c>
      <c r="C1814" s="17">
        <f>IF(AND(問題解答データベース!D1814&gt;=小テスト!$C$6,D1814&lt;=小テスト!$E$6),1,0)</f>
        <v>1</v>
      </c>
      <c r="D1814" s="44">
        <f t="shared" si="85"/>
        <v>1813</v>
      </c>
      <c r="E1814" s="45" t="s">
        <v>1977</v>
      </c>
      <c r="F1814" s="46" t="s">
        <v>3723</v>
      </c>
    </row>
    <row r="1815" spans="1:6" ht="17">
      <c r="A1815" s="15">
        <f t="shared" ca="1" si="83"/>
        <v>1005</v>
      </c>
      <c r="B1815" s="16">
        <f t="shared" ca="1" si="84"/>
        <v>0.47635824052074205</v>
      </c>
      <c r="C1815" s="17">
        <f>IF(AND(問題解答データベース!D1815&gt;=小テスト!$C$6,D1815&lt;=小テスト!$E$6),1,0)</f>
        <v>1</v>
      </c>
      <c r="D1815" s="44">
        <f t="shared" si="85"/>
        <v>1814</v>
      </c>
      <c r="E1815" s="45" t="s">
        <v>1978</v>
      </c>
      <c r="F1815" s="46" t="s">
        <v>3724</v>
      </c>
    </row>
    <row r="1816" spans="1:6" ht="17">
      <c r="A1816" s="15">
        <f t="shared" ca="1" si="83"/>
        <v>894</v>
      </c>
      <c r="B1816" s="16">
        <f t="shared" ca="1" si="84"/>
        <v>0.52614394128019937</v>
      </c>
      <c r="C1816" s="17">
        <f>IF(AND(問題解答データベース!D1816&gt;=小テスト!$C$6,D1816&lt;=小テスト!$E$6),1,0)</f>
        <v>1</v>
      </c>
      <c r="D1816" s="44">
        <f t="shared" si="85"/>
        <v>1815</v>
      </c>
      <c r="E1816" s="45" t="s">
        <v>1979</v>
      </c>
      <c r="F1816" s="46" t="s">
        <v>3725</v>
      </c>
    </row>
    <row r="1817" spans="1:6" ht="17">
      <c r="A1817" s="15">
        <f t="shared" ca="1" si="83"/>
        <v>996</v>
      </c>
      <c r="B1817" s="16">
        <f t="shared" ca="1" si="84"/>
        <v>0.48018966099722626</v>
      </c>
      <c r="C1817" s="17">
        <f>IF(AND(問題解答データベース!D1817&gt;=小テスト!$C$6,D1817&lt;=小テスト!$E$6),1,0)</f>
        <v>1</v>
      </c>
      <c r="D1817" s="44">
        <f t="shared" si="85"/>
        <v>1816</v>
      </c>
      <c r="E1817" s="45" t="s">
        <v>1980</v>
      </c>
      <c r="F1817" s="46" t="s">
        <v>3726</v>
      </c>
    </row>
    <row r="1818" spans="1:6" ht="17">
      <c r="A1818" s="15">
        <f t="shared" ca="1" si="83"/>
        <v>615</v>
      </c>
      <c r="B1818" s="16">
        <f t="shared" ca="1" si="84"/>
        <v>0.67603767581544061</v>
      </c>
      <c r="C1818" s="17">
        <f>IF(AND(問題解答データベース!D1818&gt;=小テスト!$C$6,D1818&lt;=小テスト!$E$6),1,0)</f>
        <v>1</v>
      </c>
      <c r="D1818" s="44">
        <f t="shared" si="85"/>
        <v>1817</v>
      </c>
      <c r="E1818" s="45" t="s">
        <v>1981</v>
      </c>
      <c r="F1818" s="46" t="s">
        <v>3727</v>
      </c>
    </row>
    <row r="1819" spans="1:6" ht="17">
      <c r="A1819" s="15">
        <f t="shared" ca="1" si="83"/>
        <v>1236</v>
      </c>
      <c r="B1819" s="16">
        <f t="shared" ca="1" si="84"/>
        <v>0.35843219496079426</v>
      </c>
      <c r="C1819" s="17">
        <f>IF(AND(問題解答データベース!D1819&gt;=小テスト!$C$6,D1819&lt;=小テスト!$E$6),1,0)</f>
        <v>1</v>
      </c>
      <c r="D1819" s="44">
        <f t="shared" si="85"/>
        <v>1818</v>
      </c>
      <c r="E1819" s="45" t="s">
        <v>1982</v>
      </c>
      <c r="F1819" s="46" t="s">
        <v>3728</v>
      </c>
    </row>
    <row r="1820" spans="1:6" ht="17">
      <c r="A1820" s="15">
        <f t="shared" ca="1" si="83"/>
        <v>588</v>
      </c>
      <c r="B1820" s="16">
        <f t="shared" ca="1" si="84"/>
        <v>0.68959809652857373</v>
      </c>
      <c r="C1820" s="17">
        <f>IF(AND(問題解答データベース!D1820&gt;=小テスト!$C$6,D1820&lt;=小テスト!$E$6),1,0)</f>
        <v>1</v>
      </c>
      <c r="D1820" s="44">
        <f t="shared" si="85"/>
        <v>1819</v>
      </c>
      <c r="E1820" s="45" t="s">
        <v>1983</v>
      </c>
      <c r="F1820" s="46" t="s">
        <v>3729</v>
      </c>
    </row>
    <row r="1821" spans="1:6" ht="17">
      <c r="A1821" s="15">
        <f t="shared" ca="1" si="83"/>
        <v>1886</v>
      </c>
      <c r="B1821" s="16">
        <f t="shared" ca="1" si="84"/>
        <v>6.7636967419231198E-3</v>
      </c>
      <c r="C1821" s="17">
        <f>IF(AND(問題解答データベース!D1821&gt;=小テスト!$C$6,D1821&lt;=小テスト!$E$6),1,0)</f>
        <v>1</v>
      </c>
      <c r="D1821" s="44">
        <f t="shared" si="85"/>
        <v>1820</v>
      </c>
      <c r="E1821" s="45" t="s">
        <v>1984</v>
      </c>
      <c r="F1821" s="46" t="s">
        <v>3730</v>
      </c>
    </row>
    <row r="1822" spans="1:6" ht="17">
      <c r="A1822" s="15">
        <f t="shared" ca="1" si="83"/>
        <v>1117</v>
      </c>
      <c r="B1822" s="16">
        <f t="shared" ca="1" si="84"/>
        <v>0.41492878524283594</v>
      </c>
      <c r="C1822" s="17">
        <f>IF(AND(問題解答データベース!D1822&gt;=小テスト!$C$6,D1822&lt;=小テスト!$E$6),1,0)</f>
        <v>1</v>
      </c>
      <c r="D1822" s="44">
        <f t="shared" si="85"/>
        <v>1821</v>
      </c>
      <c r="E1822" s="45" t="s">
        <v>1985</v>
      </c>
      <c r="F1822" s="46" t="s">
        <v>3731</v>
      </c>
    </row>
    <row r="1823" spans="1:6" ht="17">
      <c r="A1823" s="15">
        <f t="shared" ca="1" si="83"/>
        <v>126</v>
      </c>
      <c r="B1823" s="16">
        <f t="shared" ca="1" si="84"/>
        <v>0.94116430286814645</v>
      </c>
      <c r="C1823" s="17">
        <f>IF(AND(問題解答データベース!D1823&gt;=小テスト!$C$6,D1823&lt;=小テスト!$E$6),1,0)</f>
        <v>1</v>
      </c>
      <c r="D1823" s="44">
        <f t="shared" si="85"/>
        <v>1822</v>
      </c>
      <c r="E1823" s="45" t="s">
        <v>1986</v>
      </c>
      <c r="F1823" s="46" t="s">
        <v>3732</v>
      </c>
    </row>
    <row r="1824" spans="1:6" ht="17">
      <c r="A1824" s="15">
        <f t="shared" ca="1" si="83"/>
        <v>1656</v>
      </c>
      <c r="B1824" s="16">
        <f t="shared" ca="1" si="84"/>
        <v>0.12485756666932002</v>
      </c>
      <c r="C1824" s="17">
        <f>IF(AND(問題解答データベース!D1824&gt;=小テスト!$C$6,D1824&lt;=小テスト!$E$6),1,0)</f>
        <v>1</v>
      </c>
      <c r="D1824" s="44">
        <f t="shared" si="85"/>
        <v>1823</v>
      </c>
      <c r="E1824" s="45" t="s">
        <v>1987</v>
      </c>
      <c r="F1824" s="46" t="s">
        <v>3733</v>
      </c>
    </row>
    <row r="1825" spans="1:6" ht="17">
      <c r="A1825" s="15">
        <f t="shared" ca="1" si="83"/>
        <v>353</v>
      </c>
      <c r="B1825" s="16">
        <f t="shared" ca="1" si="84"/>
        <v>0.81044239917466299</v>
      </c>
      <c r="C1825" s="17">
        <f>IF(AND(問題解答データベース!D1825&gt;=小テスト!$C$6,D1825&lt;=小テスト!$E$6),1,0)</f>
        <v>1</v>
      </c>
      <c r="D1825" s="44">
        <f t="shared" si="85"/>
        <v>1824</v>
      </c>
      <c r="E1825" s="45" t="s">
        <v>1988</v>
      </c>
      <c r="F1825" s="46" t="s">
        <v>3734</v>
      </c>
    </row>
    <row r="1826" spans="1:6" ht="17">
      <c r="A1826" s="15">
        <f t="shared" ca="1" si="83"/>
        <v>289</v>
      </c>
      <c r="B1826" s="16">
        <f t="shared" ca="1" si="84"/>
        <v>0.85060688209306079</v>
      </c>
      <c r="C1826" s="17">
        <f>IF(AND(問題解答データベース!D1826&gt;=小テスト!$C$6,D1826&lt;=小テスト!$E$6),1,0)</f>
        <v>1</v>
      </c>
      <c r="D1826" s="44">
        <f t="shared" si="85"/>
        <v>1825</v>
      </c>
      <c r="E1826" s="45" t="s">
        <v>1989</v>
      </c>
      <c r="F1826" s="46" t="s">
        <v>3735</v>
      </c>
    </row>
    <row r="1827" spans="1:6" ht="17">
      <c r="A1827" s="15">
        <f t="shared" ca="1" si="83"/>
        <v>1108</v>
      </c>
      <c r="B1827" s="16">
        <f t="shared" ca="1" si="84"/>
        <v>0.41906736031899328</v>
      </c>
      <c r="C1827" s="17">
        <f>IF(AND(問題解答データベース!D1827&gt;=小テスト!$C$6,D1827&lt;=小テスト!$E$6),1,0)</f>
        <v>1</v>
      </c>
      <c r="D1827" s="44">
        <f t="shared" si="85"/>
        <v>1826</v>
      </c>
      <c r="E1827" s="45" t="s">
        <v>1990</v>
      </c>
      <c r="F1827" s="46" t="s">
        <v>3736</v>
      </c>
    </row>
    <row r="1828" spans="1:6" ht="17">
      <c r="A1828" s="15">
        <f t="shared" ca="1" si="83"/>
        <v>621</v>
      </c>
      <c r="B1828" s="16">
        <f t="shared" ca="1" si="84"/>
        <v>0.67299511343091445</v>
      </c>
      <c r="C1828" s="17">
        <f>IF(AND(問題解答データベース!D1828&gt;=小テスト!$C$6,D1828&lt;=小テスト!$E$6),1,0)</f>
        <v>1</v>
      </c>
      <c r="D1828" s="44">
        <f t="shared" si="85"/>
        <v>1827</v>
      </c>
      <c r="E1828" s="45" t="s">
        <v>1991</v>
      </c>
      <c r="F1828" s="46" t="s">
        <v>3737</v>
      </c>
    </row>
    <row r="1829" spans="1:6" ht="17">
      <c r="A1829" s="15">
        <f t="shared" ca="1" si="83"/>
        <v>1818</v>
      </c>
      <c r="B1829" s="16">
        <f t="shared" ca="1" si="84"/>
        <v>4.0574100099639687E-2</v>
      </c>
      <c r="C1829" s="17">
        <f>IF(AND(問題解答データベース!D1829&gt;=小テスト!$C$6,D1829&lt;=小テスト!$E$6),1,0)</f>
        <v>1</v>
      </c>
      <c r="D1829" s="44">
        <f t="shared" si="85"/>
        <v>1828</v>
      </c>
      <c r="E1829" s="45" t="s">
        <v>1992</v>
      </c>
      <c r="F1829" s="46" t="s">
        <v>3738</v>
      </c>
    </row>
    <row r="1830" spans="1:6" ht="17">
      <c r="A1830" s="15">
        <f t="shared" ca="1" si="83"/>
        <v>1778</v>
      </c>
      <c r="B1830" s="16">
        <f t="shared" ca="1" si="84"/>
        <v>6.0195383183611284E-2</v>
      </c>
      <c r="C1830" s="17">
        <f>IF(AND(問題解答データベース!D1830&gt;=小テスト!$C$6,D1830&lt;=小テスト!$E$6),1,0)</f>
        <v>1</v>
      </c>
      <c r="D1830" s="44">
        <f>D1829+1</f>
        <v>1829</v>
      </c>
      <c r="E1830" s="45" t="s">
        <v>1993</v>
      </c>
      <c r="F1830" s="46" t="s">
        <v>3739</v>
      </c>
    </row>
    <row r="1831" spans="1:6" ht="17">
      <c r="A1831" s="15">
        <f t="shared" ca="1" si="83"/>
        <v>293</v>
      </c>
      <c r="B1831" s="16">
        <f t="shared" ca="1" si="84"/>
        <v>0.84934415921480111</v>
      </c>
      <c r="C1831" s="17">
        <f>IF(AND(問題解答データベース!D1831&gt;=小テスト!$C$6,D1831&lt;=小テスト!$E$6),1,0)</f>
        <v>1</v>
      </c>
      <c r="D1831" s="44">
        <f t="shared" ref="D1831:D1859" si="86">D1830+1</f>
        <v>1830</v>
      </c>
      <c r="E1831" s="45" t="s">
        <v>1994</v>
      </c>
      <c r="F1831" s="46" t="s">
        <v>3740</v>
      </c>
    </row>
    <row r="1832" spans="1:6" ht="17">
      <c r="A1832" s="15">
        <f t="shared" ca="1" si="83"/>
        <v>481</v>
      </c>
      <c r="B1832" s="16">
        <f t="shared" ca="1" si="84"/>
        <v>0.75271011540162502</v>
      </c>
      <c r="C1832" s="17">
        <f>IF(AND(問題解答データベース!D1832&gt;=小テスト!$C$6,D1832&lt;=小テスト!$E$6),1,0)</f>
        <v>1</v>
      </c>
      <c r="D1832" s="44">
        <f t="shared" si="86"/>
        <v>1831</v>
      </c>
      <c r="E1832" s="45" t="s">
        <v>1995</v>
      </c>
      <c r="F1832" s="46" t="s">
        <v>3741</v>
      </c>
    </row>
    <row r="1833" spans="1:6" ht="17">
      <c r="A1833" s="15">
        <f t="shared" ca="1" si="83"/>
        <v>1622</v>
      </c>
      <c r="B1833" s="16">
        <f t="shared" ca="1" si="84"/>
        <v>0.14572485450924</v>
      </c>
      <c r="C1833" s="17">
        <f>IF(AND(問題解答データベース!D1833&gt;=小テスト!$C$6,D1833&lt;=小テスト!$E$6),1,0)</f>
        <v>1</v>
      </c>
      <c r="D1833" s="44">
        <f t="shared" si="86"/>
        <v>1832</v>
      </c>
      <c r="E1833" s="45" t="s">
        <v>1996</v>
      </c>
      <c r="F1833" s="46" t="s">
        <v>3742</v>
      </c>
    </row>
    <row r="1834" spans="1:6" ht="17">
      <c r="A1834" s="15">
        <f t="shared" ca="1" si="83"/>
        <v>809</v>
      </c>
      <c r="B1834" s="16">
        <f t="shared" ca="1" si="84"/>
        <v>0.57205753416027838</v>
      </c>
      <c r="C1834" s="17">
        <f>IF(AND(問題解答データベース!D1834&gt;=小テスト!$C$6,D1834&lt;=小テスト!$E$6),1,0)</f>
        <v>1</v>
      </c>
      <c r="D1834" s="44">
        <f t="shared" si="86"/>
        <v>1833</v>
      </c>
      <c r="E1834" s="45" t="s">
        <v>1997</v>
      </c>
      <c r="F1834" s="46" t="s">
        <v>3743</v>
      </c>
    </row>
    <row r="1835" spans="1:6" ht="17">
      <c r="A1835" s="15">
        <f t="shared" ca="1" si="83"/>
        <v>1530</v>
      </c>
      <c r="B1835" s="16">
        <f t="shared" ca="1" si="84"/>
        <v>0.18713849178751429</v>
      </c>
      <c r="C1835" s="17">
        <f>IF(AND(問題解答データベース!D1835&gt;=小テスト!$C$6,D1835&lt;=小テスト!$E$6),1,0)</f>
        <v>1</v>
      </c>
      <c r="D1835" s="44">
        <f t="shared" si="86"/>
        <v>1834</v>
      </c>
      <c r="E1835" s="45" t="s">
        <v>1998</v>
      </c>
      <c r="F1835" s="46" t="s">
        <v>3744</v>
      </c>
    </row>
    <row r="1836" spans="1:6" ht="17">
      <c r="A1836" s="15">
        <f t="shared" ca="1" si="83"/>
        <v>681</v>
      </c>
      <c r="B1836" s="16">
        <f t="shared" ca="1" si="84"/>
        <v>0.64146883044621894</v>
      </c>
      <c r="C1836" s="17">
        <f>IF(AND(問題解答データベース!D1836&gt;=小テスト!$C$6,D1836&lt;=小テスト!$E$6),1,0)</f>
        <v>1</v>
      </c>
      <c r="D1836" s="44">
        <f t="shared" si="86"/>
        <v>1835</v>
      </c>
      <c r="E1836" s="45" t="s">
        <v>1999</v>
      </c>
      <c r="F1836" s="46" t="s">
        <v>3745</v>
      </c>
    </row>
    <row r="1837" spans="1:6" ht="17">
      <c r="A1837" s="15">
        <f t="shared" ca="1" si="83"/>
        <v>724</v>
      </c>
      <c r="B1837" s="16">
        <f t="shared" ca="1" si="84"/>
        <v>0.61507418553243953</v>
      </c>
      <c r="C1837" s="17">
        <f>IF(AND(問題解答データベース!D1837&gt;=小テスト!$C$6,D1837&lt;=小テスト!$E$6),1,0)</f>
        <v>1</v>
      </c>
      <c r="D1837" s="44">
        <f t="shared" si="86"/>
        <v>1836</v>
      </c>
      <c r="E1837" s="45" t="s">
        <v>2000</v>
      </c>
      <c r="F1837" s="46" t="s">
        <v>3237</v>
      </c>
    </row>
    <row r="1838" spans="1:6" ht="17">
      <c r="A1838" s="15">
        <f t="shared" ca="1" si="83"/>
        <v>1606</v>
      </c>
      <c r="B1838" s="16">
        <f t="shared" ca="1" si="84"/>
        <v>0.15335377184313803</v>
      </c>
      <c r="C1838" s="17">
        <f>IF(AND(問題解答データベース!D1838&gt;=小テスト!$C$6,D1838&lt;=小テスト!$E$6),1,0)</f>
        <v>1</v>
      </c>
      <c r="D1838" s="44">
        <f t="shared" si="86"/>
        <v>1837</v>
      </c>
      <c r="E1838" s="45" t="s">
        <v>2001</v>
      </c>
      <c r="F1838" s="46" t="s">
        <v>3746</v>
      </c>
    </row>
    <row r="1839" spans="1:6" ht="17">
      <c r="A1839" s="15">
        <f t="shared" ca="1" si="83"/>
        <v>200</v>
      </c>
      <c r="B1839" s="16">
        <f t="shared" ca="1" si="84"/>
        <v>0.90274547162695651</v>
      </c>
      <c r="C1839" s="17">
        <f>IF(AND(問題解答データベース!D1839&gt;=小テスト!$C$6,D1839&lt;=小テスト!$E$6),1,0)</f>
        <v>1</v>
      </c>
      <c r="D1839" s="44">
        <f t="shared" si="86"/>
        <v>1838</v>
      </c>
      <c r="E1839" s="45" t="s">
        <v>2002</v>
      </c>
      <c r="F1839" s="46" t="s">
        <v>3747</v>
      </c>
    </row>
    <row r="1840" spans="1:6" ht="17">
      <c r="A1840" s="15">
        <f t="shared" ca="1" si="83"/>
        <v>888</v>
      </c>
      <c r="B1840" s="16">
        <f t="shared" ca="1" si="84"/>
        <v>0.52998008629623372</v>
      </c>
      <c r="C1840" s="17">
        <f>IF(AND(問題解答データベース!D1840&gt;=小テスト!$C$6,D1840&lt;=小テスト!$E$6),1,0)</f>
        <v>1</v>
      </c>
      <c r="D1840" s="44">
        <f t="shared" si="86"/>
        <v>1839</v>
      </c>
      <c r="E1840" s="45" t="s">
        <v>2003</v>
      </c>
      <c r="F1840" s="46" t="s">
        <v>3748</v>
      </c>
    </row>
    <row r="1841" spans="1:6" ht="17">
      <c r="A1841" s="15">
        <f t="shared" ca="1" si="83"/>
        <v>201</v>
      </c>
      <c r="B1841" s="16">
        <f t="shared" ca="1" si="84"/>
        <v>0.90216375728484244</v>
      </c>
      <c r="C1841" s="17">
        <f>IF(AND(問題解答データベース!D1841&gt;=小テスト!$C$6,D1841&lt;=小テスト!$E$6),1,0)</f>
        <v>1</v>
      </c>
      <c r="D1841" s="44">
        <f t="shared" si="86"/>
        <v>1840</v>
      </c>
      <c r="E1841" s="45" t="s">
        <v>2004</v>
      </c>
      <c r="F1841" s="46" t="s">
        <v>3749</v>
      </c>
    </row>
    <row r="1842" spans="1:6" ht="17">
      <c r="A1842" s="15">
        <f t="shared" ca="1" si="83"/>
        <v>666</v>
      </c>
      <c r="B1842" s="16">
        <f t="shared" ca="1" si="84"/>
        <v>0.6503346795959366</v>
      </c>
      <c r="C1842" s="17">
        <f>IF(AND(問題解答データベース!D1842&gt;=小テスト!$C$6,D1842&lt;=小テスト!$E$6),1,0)</f>
        <v>1</v>
      </c>
      <c r="D1842" s="44">
        <f t="shared" si="86"/>
        <v>1841</v>
      </c>
      <c r="E1842" s="45" t="s">
        <v>2005</v>
      </c>
      <c r="F1842" s="46" t="s">
        <v>3750</v>
      </c>
    </row>
    <row r="1843" spans="1:6" ht="17">
      <c r="A1843" s="15">
        <f t="shared" ca="1" si="83"/>
        <v>332</v>
      </c>
      <c r="B1843" s="16">
        <f t="shared" ca="1" si="84"/>
        <v>0.81998423870554127</v>
      </c>
      <c r="C1843" s="17">
        <f>IF(AND(問題解答データベース!D1843&gt;=小テスト!$C$6,D1843&lt;=小テスト!$E$6),1,0)</f>
        <v>1</v>
      </c>
      <c r="D1843" s="44">
        <f t="shared" si="86"/>
        <v>1842</v>
      </c>
      <c r="E1843" s="45" t="s">
        <v>2006</v>
      </c>
      <c r="F1843" s="46" t="s">
        <v>3751</v>
      </c>
    </row>
    <row r="1844" spans="1:6" ht="17">
      <c r="A1844" s="15">
        <f t="shared" ca="1" si="83"/>
        <v>1878</v>
      </c>
      <c r="B1844" s="16">
        <f t="shared" ca="1" si="84"/>
        <v>1.0550449198031275E-2</v>
      </c>
      <c r="C1844" s="17">
        <f>IF(AND(問題解答データベース!D1844&gt;=小テスト!$C$6,D1844&lt;=小テスト!$E$6),1,0)</f>
        <v>1</v>
      </c>
      <c r="D1844" s="44">
        <f t="shared" si="86"/>
        <v>1843</v>
      </c>
      <c r="E1844" s="45" t="s">
        <v>2007</v>
      </c>
      <c r="F1844" s="46" t="s">
        <v>3752</v>
      </c>
    </row>
    <row r="1845" spans="1:6" ht="17">
      <c r="A1845" s="15">
        <f t="shared" ca="1" si="83"/>
        <v>1671</v>
      </c>
      <c r="B1845" s="16">
        <f t="shared" ca="1" si="84"/>
        <v>0.11572325715756082</v>
      </c>
      <c r="C1845" s="17">
        <f>IF(AND(問題解答データベース!D1845&gt;=小テスト!$C$6,D1845&lt;=小テスト!$E$6),1,0)</f>
        <v>1</v>
      </c>
      <c r="D1845" s="44">
        <f t="shared" si="86"/>
        <v>1844</v>
      </c>
      <c r="E1845" s="45" t="s">
        <v>2008</v>
      </c>
      <c r="F1845" s="46" t="s">
        <v>3753</v>
      </c>
    </row>
    <row r="1846" spans="1:6" ht="17">
      <c r="A1846" s="15">
        <f t="shared" ca="1" si="83"/>
        <v>468</v>
      </c>
      <c r="B1846" s="16">
        <f t="shared" ca="1" si="84"/>
        <v>0.75858920488295589</v>
      </c>
      <c r="C1846" s="17">
        <f>IF(AND(問題解答データベース!D1846&gt;=小テスト!$C$6,D1846&lt;=小テスト!$E$6),1,0)</f>
        <v>1</v>
      </c>
      <c r="D1846" s="44">
        <f t="shared" si="86"/>
        <v>1845</v>
      </c>
      <c r="E1846" s="45" t="s">
        <v>2009</v>
      </c>
      <c r="F1846" s="46" t="s">
        <v>3754</v>
      </c>
    </row>
    <row r="1847" spans="1:6" ht="17">
      <c r="A1847" s="15">
        <f t="shared" ca="1" si="83"/>
        <v>1651</v>
      </c>
      <c r="B1847" s="16">
        <f t="shared" ca="1" si="84"/>
        <v>0.12702312115559466</v>
      </c>
      <c r="C1847" s="17">
        <f>IF(AND(問題解答データベース!D1847&gt;=小テスト!$C$6,D1847&lt;=小テスト!$E$6),1,0)</f>
        <v>1</v>
      </c>
      <c r="D1847" s="44">
        <f t="shared" si="86"/>
        <v>1846</v>
      </c>
      <c r="E1847" s="45" t="s">
        <v>2010</v>
      </c>
      <c r="F1847" s="46" t="s">
        <v>3755</v>
      </c>
    </row>
    <row r="1848" spans="1:6" ht="17">
      <c r="A1848" s="15">
        <f t="shared" ca="1" si="83"/>
        <v>163</v>
      </c>
      <c r="B1848" s="16">
        <f t="shared" ca="1" si="84"/>
        <v>0.92063859429004247</v>
      </c>
      <c r="C1848" s="17">
        <f>IF(AND(問題解答データベース!D1848&gt;=小テスト!$C$6,D1848&lt;=小テスト!$E$6),1,0)</f>
        <v>1</v>
      </c>
      <c r="D1848" s="44">
        <f t="shared" si="86"/>
        <v>1847</v>
      </c>
      <c r="E1848" s="45" t="s">
        <v>2011</v>
      </c>
      <c r="F1848" s="46" t="s">
        <v>3756</v>
      </c>
    </row>
    <row r="1849" spans="1:6" ht="17">
      <c r="A1849" s="15">
        <f t="shared" ca="1" si="83"/>
        <v>601</v>
      </c>
      <c r="B1849" s="16">
        <f t="shared" ca="1" si="84"/>
        <v>0.6823192036701371</v>
      </c>
      <c r="C1849" s="17">
        <f>IF(AND(問題解答データベース!D1849&gt;=小テスト!$C$6,D1849&lt;=小テスト!$E$6),1,0)</f>
        <v>1</v>
      </c>
      <c r="D1849" s="44">
        <f t="shared" si="86"/>
        <v>1848</v>
      </c>
      <c r="E1849" s="45" t="s">
        <v>2012</v>
      </c>
      <c r="F1849" s="46" t="s">
        <v>3757</v>
      </c>
    </row>
    <row r="1850" spans="1:6" ht="17">
      <c r="A1850" s="15">
        <f t="shared" ca="1" si="83"/>
        <v>1050</v>
      </c>
      <c r="B1850" s="16">
        <f t="shared" ca="1" si="84"/>
        <v>0.45375470818442998</v>
      </c>
      <c r="C1850" s="17">
        <f>IF(AND(問題解答データベース!D1850&gt;=小テスト!$C$6,D1850&lt;=小テスト!$E$6),1,0)</f>
        <v>1</v>
      </c>
      <c r="D1850" s="44">
        <f t="shared" si="86"/>
        <v>1849</v>
      </c>
      <c r="E1850" s="45" t="s">
        <v>2013</v>
      </c>
      <c r="F1850" s="46" t="s">
        <v>3758</v>
      </c>
    </row>
    <row r="1851" spans="1:6" ht="17">
      <c r="A1851" s="15">
        <f t="shared" ca="1" si="83"/>
        <v>1402</v>
      </c>
      <c r="B1851" s="16">
        <f t="shared" ca="1" si="84"/>
        <v>0.26553269043704564</v>
      </c>
      <c r="C1851" s="17">
        <f>IF(AND(問題解答データベース!D1851&gt;=小テスト!$C$6,D1851&lt;=小テスト!$E$6),1,0)</f>
        <v>1</v>
      </c>
      <c r="D1851" s="44">
        <f t="shared" si="86"/>
        <v>1850</v>
      </c>
      <c r="E1851" s="45" t="s">
        <v>2014</v>
      </c>
      <c r="F1851" s="46" t="s">
        <v>3759</v>
      </c>
    </row>
    <row r="1852" spans="1:6" ht="17">
      <c r="A1852" s="15">
        <f t="shared" ca="1" si="83"/>
        <v>940</v>
      </c>
      <c r="B1852" s="16">
        <f t="shared" ca="1" si="84"/>
        <v>0.50585045366783021</v>
      </c>
      <c r="C1852" s="17">
        <f>IF(AND(問題解答データベース!D1852&gt;=小テスト!$C$6,D1852&lt;=小テスト!$E$6),1,0)</f>
        <v>1</v>
      </c>
      <c r="D1852" s="44">
        <f t="shared" si="86"/>
        <v>1851</v>
      </c>
      <c r="E1852" s="45" t="s">
        <v>2015</v>
      </c>
      <c r="F1852" s="46" t="s">
        <v>3760</v>
      </c>
    </row>
    <row r="1853" spans="1:6" ht="17">
      <c r="A1853" s="15">
        <f t="shared" ca="1" si="83"/>
        <v>914</v>
      </c>
      <c r="B1853" s="16">
        <f t="shared" ca="1" si="84"/>
        <v>0.51688654306041526</v>
      </c>
      <c r="C1853" s="17">
        <f>IF(AND(問題解答データベース!D1853&gt;=小テスト!$C$6,D1853&lt;=小テスト!$E$6),1,0)</f>
        <v>1</v>
      </c>
      <c r="D1853" s="44">
        <f t="shared" si="86"/>
        <v>1852</v>
      </c>
      <c r="E1853" s="45" t="s">
        <v>2016</v>
      </c>
      <c r="F1853" s="46" t="s">
        <v>3761</v>
      </c>
    </row>
    <row r="1854" spans="1:6" ht="17">
      <c r="A1854" s="15">
        <f t="shared" ca="1" si="83"/>
        <v>1259</v>
      </c>
      <c r="B1854" s="16">
        <f t="shared" ca="1" si="84"/>
        <v>0.34493463863857854</v>
      </c>
      <c r="C1854" s="17">
        <f>IF(AND(問題解答データベース!D1854&gt;=小テスト!$C$6,D1854&lt;=小テスト!$E$6),1,0)</f>
        <v>1</v>
      </c>
      <c r="D1854" s="44">
        <f t="shared" si="86"/>
        <v>1853</v>
      </c>
      <c r="E1854" s="45" t="s">
        <v>2017</v>
      </c>
      <c r="F1854" s="46" t="s">
        <v>3762</v>
      </c>
    </row>
    <row r="1855" spans="1:6" ht="17">
      <c r="A1855" s="15">
        <f t="shared" ca="1" si="83"/>
        <v>568</v>
      </c>
      <c r="B1855" s="16">
        <f t="shared" ca="1" si="84"/>
        <v>0.70451165933660642</v>
      </c>
      <c r="C1855" s="17">
        <f>IF(AND(問題解答データベース!D1855&gt;=小テスト!$C$6,D1855&lt;=小テスト!$E$6),1,0)</f>
        <v>1</v>
      </c>
      <c r="D1855" s="44">
        <f t="shared" si="86"/>
        <v>1854</v>
      </c>
      <c r="E1855" s="45" t="s">
        <v>2018</v>
      </c>
      <c r="F1855" s="46" t="s">
        <v>3763</v>
      </c>
    </row>
    <row r="1856" spans="1:6" ht="17">
      <c r="A1856" s="15">
        <f t="shared" ca="1" si="83"/>
        <v>254</v>
      </c>
      <c r="B1856" s="16">
        <f t="shared" ca="1" si="84"/>
        <v>0.86842097783282679</v>
      </c>
      <c r="C1856" s="17">
        <f>IF(AND(問題解答データベース!D1856&gt;=小テスト!$C$6,D1856&lt;=小テスト!$E$6),1,0)</f>
        <v>1</v>
      </c>
      <c r="D1856" s="44">
        <f t="shared" si="86"/>
        <v>1855</v>
      </c>
      <c r="E1856" s="45" t="s">
        <v>2019</v>
      </c>
      <c r="F1856" s="46" t="s">
        <v>3764</v>
      </c>
    </row>
    <row r="1857" spans="1:6" ht="17">
      <c r="A1857" s="15">
        <f t="shared" ca="1" si="83"/>
        <v>1805</v>
      </c>
      <c r="B1857" s="16">
        <f t="shared" ca="1" si="84"/>
        <v>4.5472878284025797E-2</v>
      </c>
      <c r="C1857" s="17">
        <f>IF(AND(問題解答データベース!D1857&gt;=小テスト!$C$6,D1857&lt;=小テスト!$E$6),1,0)</f>
        <v>1</v>
      </c>
      <c r="D1857" s="44">
        <f t="shared" si="86"/>
        <v>1856</v>
      </c>
      <c r="E1857" s="45" t="s">
        <v>2020</v>
      </c>
      <c r="F1857" s="46" t="s">
        <v>3765</v>
      </c>
    </row>
    <row r="1858" spans="1:6" ht="17">
      <c r="A1858" s="15">
        <f t="shared" ca="1" si="83"/>
        <v>1248</v>
      </c>
      <c r="B1858" s="16">
        <f t="shared" ca="1" si="84"/>
        <v>0.3516419211408921</v>
      </c>
      <c r="C1858" s="17">
        <f>IF(AND(問題解答データベース!D1858&gt;=小テスト!$C$6,D1858&lt;=小テスト!$E$6),1,0)</f>
        <v>1</v>
      </c>
      <c r="D1858" s="44">
        <f t="shared" si="86"/>
        <v>1857</v>
      </c>
      <c r="E1858" s="45" t="s">
        <v>2021</v>
      </c>
      <c r="F1858" s="46" t="s">
        <v>3766</v>
      </c>
    </row>
    <row r="1859" spans="1:6" ht="17">
      <c r="A1859" s="15">
        <f t="shared" ref="A1859:A1901" ca="1" si="87">RANK(B1859,$B$2:$B$1901,0)</f>
        <v>94</v>
      </c>
      <c r="B1859" s="16">
        <f t="shared" ca="1" si="84"/>
        <v>0.9547341238030066</v>
      </c>
      <c r="C1859" s="17">
        <f>IF(AND(問題解答データベース!D1859&gt;=小テスト!$C$6,D1859&lt;=小テスト!$E$6),1,0)</f>
        <v>1</v>
      </c>
      <c r="D1859" s="44">
        <f t="shared" si="86"/>
        <v>1858</v>
      </c>
      <c r="E1859" s="45" t="s">
        <v>2022</v>
      </c>
      <c r="F1859" s="46" t="s">
        <v>3767</v>
      </c>
    </row>
    <row r="1860" spans="1:6" ht="17">
      <c r="A1860" s="15">
        <f t="shared" ca="1" si="87"/>
        <v>1378</v>
      </c>
      <c r="B1860" s="16">
        <f t="shared" ca="1" si="84"/>
        <v>0.27467482881823435</v>
      </c>
      <c r="C1860" s="17">
        <f>IF(AND(問題解答データベース!D1860&gt;=小テスト!$C$6,D1860&lt;=小テスト!$E$6),1,0)</f>
        <v>1</v>
      </c>
      <c r="D1860" s="44">
        <f>D1859+1</f>
        <v>1859</v>
      </c>
      <c r="E1860" s="45" t="s">
        <v>2023</v>
      </c>
      <c r="F1860" s="46" t="s">
        <v>3768</v>
      </c>
    </row>
    <row r="1861" spans="1:6" ht="17">
      <c r="A1861" s="15">
        <f t="shared" ca="1" si="87"/>
        <v>1028</v>
      </c>
      <c r="B1861" s="16">
        <f t="shared" ca="1" si="84"/>
        <v>0.46717969898283718</v>
      </c>
      <c r="C1861" s="17">
        <f>IF(AND(問題解答データベース!D1861&gt;=小テスト!$C$6,D1861&lt;=小テスト!$E$6),1,0)</f>
        <v>1</v>
      </c>
      <c r="D1861" s="44">
        <f t="shared" ref="D1861:D1901" si="88">D1860+1</f>
        <v>1860</v>
      </c>
      <c r="E1861" s="45" t="s">
        <v>2024</v>
      </c>
      <c r="F1861" s="46" t="s">
        <v>3769</v>
      </c>
    </row>
    <row r="1862" spans="1:6" ht="17">
      <c r="A1862" s="15">
        <f t="shared" ca="1" si="87"/>
        <v>301</v>
      </c>
      <c r="B1862" s="16">
        <f t="shared" ca="1" si="84"/>
        <v>0.84505826679497165</v>
      </c>
      <c r="C1862" s="17">
        <f>IF(AND(問題解答データベース!D1862&gt;=小テスト!$C$6,D1862&lt;=小テスト!$E$6),1,0)</f>
        <v>1</v>
      </c>
      <c r="D1862" s="44">
        <f t="shared" si="88"/>
        <v>1861</v>
      </c>
      <c r="E1862" s="45" t="s">
        <v>2025</v>
      </c>
      <c r="F1862" s="46" t="s">
        <v>3770</v>
      </c>
    </row>
    <row r="1863" spans="1:6" ht="17">
      <c r="A1863" s="15">
        <f t="shared" ca="1" si="87"/>
        <v>409</v>
      </c>
      <c r="B1863" s="16">
        <f t="shared" ca="1" si="84"/>
        <v>0.78280468750092758</v>
      </c>
      <c r="C1863" s="17">
        <f>IF(AND(問題解答データベース!D1863&gt;=小テスト!$C$6,D1863&lt;=小テスト!$E$6),1,0)</f>
        <v>1</v>
      </c>
      <c r="D1863" s="44">
        <f t="shared" si="88"/>
        <v>1862</v>
      </c>
      <c r="E1863" s="45" t="s">
        <v>2026</v>
      </c>
      <c r="F1863" s="46" t="s">
        <v>3771</v>
      </c>
    </row>
    <row r="1864" spans="1:6" ht="17">
      <c r="A1864" s="15">
        <f t="shared" ca="1" si="87"/>
        <v>1375</v>
      </c>
      <c r="B1864" s="16">
        <f t="shared" ca="1" si="84"/>
        <v>0.27748939420823093</v>
      </c>
      <c r="C1864" s="17">
        <f>IF(AND(問題解答データベース!D1864&gt;=小テスト!$C$6,D1864&lt;=小テスト!$E$6),1,0)</f>
        <v>1</v>
      </c>
      <c r="D1864" s="44">
        <f t="shared" si="88"/>
        <v>1863</v>
      </c>
      <c r="E1864" s="45" t="s">
        <v>2027</v>
      </c>
      <c r="F1864" s="46" t="s">
        <v>3772</v>
      </c>
    </row>
    <row r="1865" spans="1:6" ht="17">
      <c r="A1865" s="15">
        <f t="shared" ca="1" si="87"/>
        <v>460</v>
      </c>
      <c r="B1865" s="16">
        <f t="shared" ca="1" si="84"/>
        <v>0.76090218820976441</v>
      </c>
      <c r="C1865" s="17">
        <f>IF(AND(問題解答データベース!D1865&gt;=小テスト!$C$6,D1865&lt;=小テスト!$E$6),1,0)</f>
        <v>1</v>
      </c>
      <c r="D1865" s="44">
        <f t="shared" si="88"/>
        <v>1864</v>
      </c>
      <c r="E1865" s="45" t="s">
        <v>2028</v>
      </c>
      <c r="F1865" s="46" t="s">
        <v>3773</v>
      </c>
    </row>
    <row r="1866" spans="1:6" ht="17">
      <c r="A1866" s="15">
        <f t="shared" ca="1" si="87"/>
        <v>1294</v>
      </c>
      <c r="B1866" s="16">
        <f t="shared" ref="B1866:B1901" ca="1" si="89">IF(C1866=1,RAND(),0)</f>
        <v>0.32488378575458021</v>
      </c>
      <c r="C1866" s="17">
        <f>IF(AND(問題解答データベース!D1866&gt;=小テスト!$C$6,D1866&lt;=小テスト!$E$6),1,0)</f>
        <v>1</v>
      </c>
      <c r="D1866" s="44">
        <f t="shared" si="88"/>
        <v>1865</v>
      </c>
      <c r="E1866" s="45" t="s">
        <v>2029</v>
      </c>
      <c r="F1866" s="46" t="s">
        <v>3774</v>
      </c>
    </row>
    <row r="1867" spans="1:6" ht="17">
      <c r="A1867" s="15">
        <f t="shared" ca="1" si="87"/>
        <v>1048</v>
      </c>
      <c r="B1867" s="16">
        <f t="shared" ca="1" si="89"/>
        <v>0.45688697870644468</v>
      </c>
      <c r="C1867" s="17">
        <f>IF(AND(問題解答データベース!D1867&gt;=小テスト!$C$6,D1867&lt;=小テスト!$E$6),1,0)</f>
        <v>1</v>
      </c>
      <c r="D1867" s="44">
        <f t="shared" si="88"/>
        <v>1866</v>
      </c>
      <c r="E1867" s="45" t="s">
        <v>2030</v>
      </c>
      <c r="F1867" s="46" t="s">
        <v>3775</v>
      </c>
    </row>
    <row r="1868" spans="1:6" ht="17">
      <c r="A1868" s="15">
        <f t="shared" ca="1" si="87"/>
        <v>839</v>
      </c>
      <c r="B1868" s="16">
        <f t="shared" ca="1" si="89"/>
        <v>0.55285747327863766</v>
      </c>
      <c r="C1868" s="17">
        <f>IF(AND(問題解答データベース!D1868&gt;=小テスト!$C$6,D1868&lt;=小テスト!$E$6),1,0)</f>
        <v>1</v>
      </c>
      <c r="D1868" s="44">
        <f t="shared" si="88"/>
        <v>1867</v>
      </c>
      <c r="E1868" s="45" t="s">
        <v>2031</v>
      </c>
      <c r="F1868" s="46" t="s">
        <v>3776</v>
      </c>
    </row>
    <row r="1869" spans="1:6" ht="17">
      <c r="A1869" s="15">
        <f t="shared" ca="1" si="87"/>
        <v>1661</v>
      </c>
      <c r="B1869" s="16">
        <f t="shared" ca="1" si="89"/>
        <v>0.1230967929625727</v>
      </c>
      <c r="C1869" s="17">
        <f>IF(AND(問題解答データベース!D1869&gt;=小テスト!$C$6,D1869&lt;=小テスト!$E$6),1,0)</f>
        <v>1</v>
      </c>
      <c r="D1869" s="44">
        <f t="shared" si="88"/>
        <v>1868</v>
      </c>
      <c r="E1869" s="45" t="s">
        <v>2032</v>
      </c>
      <c r="F1869" s="46" t="s">
        <v>3777</v>
      </c>
    </row>
    <row r="1870" spans="1:6" ht="17">
      <c r="A1870" s="15">
        <f t="shared" ca="1" si="87"/>
        <v>935</v>
      </c>
      <c r="B1870" s="16">
        <f t="shared" ca="1" si="89"/>
        <v>0.50727376520941825</v>
      </c>
      <c r="C1870" s="17">
        <f>IF(AND(問題解答データベース!D1870&gt;=小テスト!$C$6,D1870&lt;=小テスト!$E$6),1,0)</f>
        <v>1</v>
      </c>
      <c r="D1870" s="44">
        <f t="shared" si="88"/>
        <v>1869</v>
      </c>
      <c r="E1870" s="45" t="s">
        <v>2033</v>
      </c>
      <c r="F1870" s="46" t="s">
        <v>3778</v>
      </c>
    </row>
    <row r="1871" spans="1:6" ht="17">
      <c r="A1871" s="15">
        <f t="shared" ca="1" si="87"/>
        <v>1058</v>
      </c>
      <c r="B1871" s="16">
        <f t="shared" ca="1" si="89"/>
        <v>0.4507678240507309</v>
      </c>
      <c r="C1871" s="17">
        <f>IF(AND(問題解答データベース!D1871&gt;=小テスト!$C$6,D1871&lt;=小テスト!$E$6),1,0)</f>
        <v>1</v>
      </c>
      <c r="D1871" s="44">
        <f t="shared" si="88"/>
        <v>1870</v>
      </c>
      <c r="E1871" s="45" t="s">
        <v>2034</v>
      </c>
      <c r="F1871" s="46" t="s">
        <v>3779</v>
      </c>
    </row>
    <row r="1872" spans="1:6" ht="17">
      <c r="A1872" s="15">
        <f t="shared" ca="1" si="87"/>
        <v>983</v>
      </c>
      <c r="B1872" s="16">
        <f t="shared" ca="1" si="89"/>
        <v>0.48503524357314254</v>
      </c>
      <c r="C1872" s="17">
        <f>IF(AND(問題解答データベース!D1872&gt;=小テスト!$C$6,D1872&lt;=小テスト!$E$6),1,0)</f>
        <v>1</v>
      </c>
      <c r="D1872" s="44">
        <f t="shared" si="88"/>
        <v>1871</v>
      </c>
      <c r="E1872" s="45" t="s">
        <v>2035</v>
      </c>
      <c r="F1872" s="46" t="s">
        <v>3780</v>
      </c>
    </row>
    <row r="1873" spans="1:6" ht="17">
      <c r="A1873" s="15">
        <f t="shared" ca="1" si="87"/>
        <v>744</v>
      </c>
      <c r="B1873" s="16">
        <f t="shared" ca="1" si="89"/>
        <v>0.60508917360789116</v>
      </c>
      <c r="C1873" s="17">
        <f>IF(AND(問題解答データベース!D1873&gt;=小テスト!$C$6,D1873&lt;=小テスト!$E$6),1,0)</f>
        <v>1</v>
      </c>
      <c r="D1873" s="44">
        <f t="shared" si="88"/>
        <v>1872</v>
      </c>
      <c r="E1873" s="45" t="s">
        <v>2036</v>
      </c>
      <c r="F1873" s="46" t="s">
        <v>3781</v>
      </c>
    </row>
    <row r="1874" spans="1:6" ht="17">
      <c r="A1874" s="15">
        <f t="shared" ca="1" si="87"/>
        <v>1055</v>
      </c>
      <c r="B1874" s="16">
        <f t="shared" ca="1" si="89"/>
        <v>0.45205134890097798</v>
      </c>
      <c r="C1874" s="17">
        <f>IF(AND(問題解答データベース!D1874&gt;=小テスト!$C$6,D1874&lt;=小テスト!$E$6),1,0)</f>
        <v>1</v>
      </c>
      <c r="D1874" s="44">
        <f t="shared" si="88"/>
        <v>1873</v>
      </c>
      <c r="E1874" s="45" t="s">
        <v>2037</v>
      </c>
      <c r="F1874" s="46" t="s">
        <v>3782</v>
      </c>
    </row>
    <row r="1875" spans="1:6" ht="17">
      <c r="A1875" s="15">
        <f t="shared" ca="1" si="87"/>
        <v>42</v>
      </c>
      <c r="B1875" s="16">
        <f t="shared" ca="1" si="89"/>
        <v>0.97835452993888616</v>
      </c>
      <c r="C1875" s="17">
        <f>IF(AND(問題解答データベース!D1875&gt;=小テスト!$C$6,D1875&lt;=小テスト!$E$6),1,0)</f>
        <v>1</v>
      </c>
      <c r="D1875" s="44">
        <f t="shared" si="88"/>
        <v>1874</v>
      </c>
      <c r="E1875" s="45" t="s">
        <v>2038</v>
      </c>
      <c r="F1875" s="46" t="s">
        <v>3783</v>
      </c>
    </row>
    <row r="1876" spans="1:6" ht="17">
      <c r="A1876" s="15">
        <f t="shared" ca="1" si="87"/>
        <v>1159</v>
      </c>
      <c r="B1876" s="16">
        <f t="shared" ca="1" si="89"/>
        <v>0.38895577019071803</v>
      </c>
      <c r="C1876" s="17">
        <f>IF(AND(問題解答データベース!D1876&gt;=小テスト!$C$6,D1876&lt;=小テスト!$E$6),1,0)</f>
        <v>1</v>
      </c>
      <c r="D1876" s="44">
        <f t="shared" si="88"/>
        <v>1875</v>
      </c>
      <c r="E1876" s="45" t="s">
        <v>2039</v>
      </c>
      <c r="F1876" s="46" t="s">
        <v>3784</v>
      </c>
    </row>
    <row r="1877" spans="1:6" ht="17">
      <c r="A1877" s="15">
        <f t="shared" ca="1" si="87"/>
        <v>939</v>
      </c>
      <c r="B1877" s="16">
        <f t="shared" ca="1" si="89"/>
        <v>0.50610141415770138</v>
      </c>
      <c r="C1877" s="17">
        <f>IF(AND(問題解答データベース!D1877&gt;=小テスト!$C$6,D1877&lt;=小テスト!$E$6),1,0)</f>
        <v>1</v>
      </c>
      <c r="D1877" s="44">
        <f t="shared" si="88"/>
        <v>1876</v>
      </c>
      <c r="E1877" s="45" t="s">
        <v>2040</v>
      </c>
      <c r="F1877" s="46" t="s">
        <v>3785</v>
      </c>
    </row>
    <row r="1878" spans="1:6" ht="17">
      <c r="A1878" s="15">
        <f t="shared" ca="1" si="87"/>
        <v>1051</v>
      </c>
      <c r="B1878" s="16">
        <f t="shared" ca="1" si="89"/>
        <v>0.45285025433347803</v>
      </c>
      <c r="C1878" s="17">
        <f>IF(AND(問題解答データベース!D1878&gt;=小テスト!$C$6,D1878&lt;=小テスト!$E$6),1,0)</f>
        <v>1</v>
      </c>
      <c r="D1878" s="44">
        <f t="shared" si="88"/>
        <v>1877</v>
      </c>
      <c r="E1878" s="45" t="s">
        <v>2041</v>
      </c>
      <c r="F1878" s="46" t="s">
        <v>3786</v>
      </c>
    </row>
    <row r="1879" spans="1:6" ht="17">
      <c r="A1879" s="15">
        <f t="shared" ca="1" si="87"/>
        <v>1194</v>
      </c>
      <c r="B1879" s="16">
        <f t="shared" ca="1" si="89"/>
        <v>0.37083087763168754</v>
      </c>
      <c r="C1879" s="17">
        <f>IF(AND(問題解答データベース!D1879&gt;=小テスト!$C$6,D1879&lt;=小テスト!$E$6),1,0)</f>
        <v>1</v>
      </c>
      <c r="D1879" s="44">
        <f t="shared" si="88"/>
        <v>1878</v>
      </c>
      <c r="E1879" s="45" t="s">
        <v>2042</v>
      </c>
      <c r="F1879" s="46" t="s">
        <v>3787</v>
      </c>
    </row>
    <row r="1880" spans="1:6" ht="17">
      <c r="A1880" s="15">
        <f t="shared" ca="1" si="87"/>
        <v>512</v>
      </c>
      <c r="B1880" s="16">
        <f t="shared" ca="1" si="89"/>
        <v>0.73574064653991544</v>
      </c>
      <c r="C1880" s="17">
        <f>IF(AND(問題解答データベース!D1880&gt;=小テスト!$C$6,D1880&lt;=小テスト!$E$6),1,0)</f>
        <v>1</v>
      </c>
      <c r="D1880" s="44">
        <f t="shared" si="88"/>
        <v>1879</v>
      </c>
      <c r="E1880" s="45" t="s">
        <v>2043</v>
      </c>
      <c r="F1880" s="46" t="s">
        <v>3788</v>
      </c>
    </row>
    <row r="1881" spans="1:6" ht="17">
      <c r="A1881" s="15">
        <f t="shared" ca="1" si="87"/>
        <v>125</v>
      </c>
      <c r="B1881" s="16">
        <f t="shared" ca="1" si="89"/>
        <v>0.94128360849291415</v>
      </c>
      <c r="C1881" s="17">
        <f>IF(AND(問題解答データベース!D1881&gt;=小テスト!$C$6,D1881&lt;=小テスト!$E$6),1,0)</f>
        <v>1</v>
      </c>
      <c r="D1881" s="44">
        <f t="shared" si="88"/>
        <v>1880</v>
      </c>
      <c r="E1881" s="45" t="s">
        <v>2044</v>
      </c>
      <c r="F1881" s="46" t="s">
        <v>3789</v>
      </c>
    </row>
    <row r="1882" spans="1:6" ht="17">
      <c r="A1882" s="15">
        <f t="shared" ca="1" si="87"/>
        <v>1329</v>
      </c>
      <c r="B1882" s="16">
        <f t="shared" ca="1" si="89"/>
        <v>0.30368962438877556</v>
      </c>
      <c r="C1882" s="17">
        <f>IF(AND(問題解答データベース!D1882&gt;=小テスト!$C$6,D1882&lt;=小テスト!$E$6),1,0)</f>
        <v>1</v>
      </c>
      <c r="D1882" s="44">
        <f t="shared" si="88"/>
        <v>1881</v>
      </c>
      <c r="E1882" s="45" t="s">
        <v>2045</v>
      </c>
      <c r="F1882" s="46" t="s">
        <v>3790</v>
      </c>
    </row>
    <row r="1883" spans="1:6" ht="17">
      <c r="A1883" s="15">
        <f t="shared" ca="1" si="87"/>
        <v>1244</v>
      </c>
      <c r="B1883" s="16">
        <f t="shared" ca="1" si="89"/>
        <v>0.35425485898815046</v>
      </c>
      <c r="C1883" s="17">
        <f>IF(AND(問題解答データベース!D1883&gt;=小テスト!$C$6,D1883&lt;=小テスト!$E$6),1,0)</f>
        <v>1</v>
      </c>
      <c r="D1883" s="44">
        <f t="shared" si="88"/>
        <v>1882</v>
      </c>
      <c r="E1883" s="45" t="s">
        <v>2046</v>
      </c>
      <c r="F1883" s="46" t="s">
        <v>3791</v>
      </c>
    </row>
    <row r="1884" spans="1:6" ht="17">
      <c r="A1884" s="15">
        <f t="shared" ca="1" si="87"/>
        <v>979</v>
      </c>
      <c r="B1884" s="16">
        <f t="shared" ca="1" si="89"/>
        <v>0.48725807452157488</v>
      </c>
      <c r="C1884" s="17">
        <f>IF(AND(問題解答データベース!D1884&gt;=小テスト!$C$6,D1884&lt;=小テスト!$E$6),1,0)</f>
        <v>1</v>
      </c>
      <c r="D1884" s="44">
        <f t="shared" si="88"/>
        <v>1883</v>
      </c>
      <c r="E1884" s="45" t="s">
        <v>2047</v>
      </c>
      <c r="F1884" s="46" t="s">
        <v>3792</v>
      </c>
    </row>
    <row r="1885" spans="1:6" ht="17">
      <c r="A1885" s="15">
        <f t="shared" ca="1" si="87"/>
        <v>1070</v>
      </c>
      <c r="B1885" s="16">
        <f t="shared" ca="1" si="89"/>
        <v>0.44130264212709347</v>
      </c>
      <c r="C1885" s="17">
        <f>IF(AND(問題解答データベース!D1885&gt;=小テスト!$C$6,D1885&lt;=小テスト!$E$6),1,0)</f>
        <v>1</v>
      </c>
      <c r="D1885" s="44">
        <f t="shared" si="88"/>
        <v>1884</v>
      </c>
      <c r="E1885" s="45" t="s">
        <v>2048</v>
      </c>
      <c r="F1885" s="46" t="s">
        <v>3793</v>
      </c>
    </row>
    <row r="1886" spans="1:6" ht="17">
      <c r="A1886" s="15">
        <f t="shared" ca="1" si="87"/>
        <v>1147</v>
      </c>
      <c r="B1886" s="16">
        <f t="shared" ca="1" si="89"/>
        <v>0.39861347629373967</v>
      </c>
      <c r="C1886" s="17">
        <f>IF(AND(問題解答データベース!D1886&gt;=小テスト!$C$6,D1886&lt;=小テスト!$E$6),1,0)</f>
        <v>1</v>
      </c>
      <c r="D1886" s="44">
        <f t="shared" si="88"/>
        <v>1885</v>
      </c>
      <c r="E1886" s="45" t="s">
        <v>2049</v>
      </c>
      <c r="F1886" s="46" t="s">
        <v>3794</v>
      </c>
    </row>
    <row r="1887" spans="1:6" ht="17">
      <c r="A1887" s="15">
        <f t="shared" ca="1" si="87"/>
        <v>229</v>
      </c>
      <c r="B1887" s="16">
        <f t="shared" ca="1" si="89"/>
        <v>0.88466734588790696</v>
      </c>
      <c r="C1887" s="17">
        <f>IF(AND(問題解答データベース!D1887&gt;=小テスト!$C$6,D1887&lt;=小テスト!$E$6),1,0)</f>
        <v>1</v>
      </c>
      <c r="D1887" s="44">
        <f t="shared" si="88"/>
        <v>1886</v>
      </c>
      <c r="E1887" s="45" t="s">
        <v>2050</v>
      </c>
      <c r="F1887" s="46" t="s">
        <v>3795</v>
      </c>
    </row>
    <row r="1888" spans="1:6" ht="17">
      <c r="A1888" s="15">
        <f t="shared" ca="1" si="87"/>
        <v>574</v>
      </c>
      <c r="B1888" s="16">
        <f t="shared" ca="1" si="89"/>
        <v>0.70101402202294971</v>
      </c>
      <c r="C1888" s="17">
        <f>IF(AND(問題解答データベース!D1888&gt;=小テスト!$C$6,D1888&lt;=小テスト!$E$6),1,0)</f>
        <v>1</v>
      </c>
      <c r="D1888" s="44">
        <f t="shared" si="88"/>
        <v>1887</v>
      </c>
      <c r="E1888" s="45" t="s">
        <v>2051</v>
      </c>
      <c r="F1888" s="46" t="s">
        <v>3796</v>
      </c>
    </row>
    <row r="1889" spans="1:6" ht="17">
      <c r="A1889" s="15">
        <f t="shared" ca="1" si="87"/>
        <v>1730</v>
      </c>
      <c r="B1889" s="16">
        <f t="shared" ca="1" si="89"/>
        <v>8.4911505342693872E-2</v>
      </c>
      <c r="C1889" s="17">
        <f>IF(AND(問題解答データベース!D1889&gt;=小テスト!$C$6,D1889&lt;=小テスト!$E$6),1,0)</f>
        <v>1</v>
      </c>
      <c r="D1889" s="44">
        <f t="shared" si="88"/>
        <v>1888</v>
      </c>
      <c r="E1889" s="45" t="s">
        <v>2052</v>
      </c>
      <c r="F1889" s="46" t="s">
        <v>3797</v>
      </c>
    </row>
    <row r="1890" spans="1:6" ht="17">
      <c r="A1890" s="15">
        <f t="shared" ca="1" si="87"/>
        <v>272</v>
      </c>
      <c r="B1890" s="16">
        <f t="shared" ca="1" si="89"/>
        <v>0.85907170610789685</v>
      </c>
      <c r="C1890" s="17">
        <f>IF(AND(問題解答データベース!D1890&gt;=小テスト!$C$6,D1890&lt;=小テスト!$E$6),1,0)</f>
        <v>1</v>
      </c>
      <c r="D1890" s="44">
        <f t="shared" si="88"/>
        <v>1889</v>
      </c>
      <c r="E1890" s="45" t="s">
        <v>2053</v>
      </c>
      <c r="F1890" s="46" t="s">
        <v>3798</v>
      </c>
    </row>
    <row r="1891" spans="1:6" ht="17">
      <c r="A1891" s="15">
        <f t="shared" ca="1" si="87"/>
        <v>1783</v>
      </c>
      <c r="B1891" s="16">
        <f t="shared" ca="1" si="89"/>
        <v>5.630802275923763E-2</v>
      </c>
      <c r="C1891" s="17">
        <f>IF(AND(問題解答データベース!D1891&gt;=小テスト!$C$6,D1891&lt;=小テスト!$E$6),1,0)</f>
        <v>1</v>
      </c>
      <c r="D1891" s="44">
        <f t="shared" si="88"/>
        <v>1890</v>
      </c>
      <c r="E1891" s="45" t="s">
        <v>2054</v>
      </c>
      <c r="F1891" s="46" t="s">
        <v>3799</v>
      </c>
    </row>
    <row r="1892" spans="1:6" ht="17">
      <c r="A1892" s="15">
        <f t="shared" ca="1" si="87"/>
        <v>26</v>
      </c>
      <c r="B1892" s="16">
        <f t="shared" ca="1" si="89"/>
        <v>0.98801253141159762</v>
      </c>
      <c r="C1892" s="17">
        <f>IF(AND(問題解答データベース!D1892&gt;=小テスト!$C$6,D1892&lt;=小テスト!$E$6),1,0)</f>
        <v>1</v>
      </c>
      <c r="D1892" s="44">
        <f t="shared" si="88"/>
        <v>1891</v>
      </c>
      <c r="E1892" s="45" t="s">
        <v>2055</v>
      </c>
      <c r="F1892" s="46" t="s">
        <v>3800</v>
      </c>
    </row>
    <row r="1893" spans="1:6" ht="17">
      <c r="A1893" s="15">
        <f t="shared" ca="1" si="87"/>
        <v>1506</v>
      </c>
      <c r="B1893" s="16">
        <f t="shared" ca="1" si="89"/>
        <v>0.19886918060242276</v>
      </c>
      <c r="C1893" s="17">
        <f>IF(AND(問題解答データベース!D1893&gt;=小テスト!$C$6,D1893&lt;=小テスト!$E$6),1,0)</f>
        <v>1</v>
      </c>
      <c r="D1893" s="44">
        <f t="shared" si="88"/>
        <v>1892</v>
      </c>
      <c r="E1893" s="45" t="s">
        <v>2056</v>
      </c>
      <c r="F1893" s="46" t="s">
        <v>3801</v>
      </c>
    </row>
    <row r="1894" spans="1:6" ht="17">
      <c r="A1894" s="15">
        <f t="shared" ca="1" si="87"/>
        <v>85</v>
      </c>
      <c r="B1894" s="16">
        <f t="shared" ca="1" si="89"/>
        <v>0.95924557125664245</v>
      </c>
      <c r="C1894" s="17">
        <f>IF(AND(問題解答データベース!D1894&gt;=小テスト!$C$6,D1894&lt;=小テスト!$E$6),1,0)</f>
        <v>1</v>
      </c>
      <c r="D1894" s="44">
        <f t="shared" si="88"/>
        <v>1893</v>
      </c>
      <c r="E1894" s="45" t="s">
        <v>2057</v>
      </c>
      <c r="F1894" s="46" t="s">
        <v>3802</v>
      </c>
    </row>
    <row r="1895" spans="1:6" ht="17">
      <c r="A1895" s="15">
        <f t="shared" ca="1" si="87"/>
        <v>1102</v>
      </c>
      <c r="B1895" s="16">
        <f t="shared" ca="1" si="89"/>
        <v>0.42235721284848071</v>
      </c>
      <c r="C1895" s="17">
        <f>IF(AND(問題解答データベース!D1895&gt;=小テスト!$C$6,D1895&lt;=小テスト!$E$6),1,0)</f>
        <v>1</v>
      </c>
      <c r="D1895" s="44">
        <f t="shared" si="88"/>
        <v>1894</v>
      </c>
      <c r="E1895" s="45" t="s">
        <v>2058</v>
      </c>
      <c r="F1895" s="46" t="s">
        <v>3803</v>
      </c>
    </row>
    <row r="1896" spans="1:6" ht="17">
      <c r="A1896" s="15">
        <f t="shared" ca="1" si="87"/>
        <v>204</v>
      </c>
      <c r="B1896" s="16">
        <f t="shared" ca="1" si="89"/>
        <v>0.90084768668052673</v>
      </c>
      <c r="C1896" s="17">
        <f>IF(AND(問題解答データベース!D1896&gt;=小テスト!$C$6,D1896&lt;=小テスト!$E$6),1,0)</f>
        <v>1</v>
      </c>
      <c r="D1896" s="44">
        <f t="shared" si="88"/>
        <v>1895</v>
      </c>
      <c r="E1896" s="45" t="s">
        <v>2059</v>
      </c>
      <c r="F1896" s="46" t="s">
        <v>3804</v>
      </c>
    </row>
    <row r="1897" spans="1:6" ht="17">
      <c r="A1897" s="15">
        <f t="shared" ca="1" si="87"/>
        <v>1703</v>
      </c>
      <c r="B1897" s="16">
        <f t="shared" ca="1" si="89"/>
        <v>9.8966041516613368E-2</v>
      </c>
      <c r="C1897" s="17">
        <f>IF(AND(問題解答データベース!D1897&gt;=小テスト!$C$6,D1897&lt;=小テスト!$E$6),1,0)</f>
        <v>1</v>
      </c>
      <c r="D1897" s="44">
        <f t="shared" si="88"/>
        <v>1896</v>
      </c>
      <c r="E1897" s="45" t="s">
        <v>2060</v>
      </c>
      <c r="F1897" s="46" t="s">
        <v>3805</v>
      </c>
    </row>
    <row r="1898" spans="1:6" ht="17">
      <c r="A1898" s="15">
        <f t="shared" ca="1" si="87"/>
        <v>486</v>
      </c>
      <c r="B1898" s="16">
        <f t="shared" ca="1" si="89"/>
        <v>0.74897109568711973</v>
      </c>
      <c r="C1898" s="17">
        <f>IF(AND(問題解答データベース!D1898&gt;=小テスト!$C$6,D1898&lt;=小テスト!$E$6),1,0)</f>
        <v>1</v>
      </c>
      <c r="D1898" s="44">
        <f t="shared" si="88"/>
        <v>1897</v>
      </c>
      <c r="E1898" s="45" t="s">
        <v>2061</v>
      </c>
      <c r="F1898" s="46" t="s">
        <v>3806</v>
      </c>
    </row>
    <row r="1899" spans="1:6" ht="17">
      <c r="A1899" s="15">
        <f t="shared" ca="1" si="87"/>
        <v>758</v>
      </c>
      <c r="B1899" s="16">
        <f t="shared" ca="1" si="89"/>
        <v>0.59890339212611332</v>
      </c>
      <c r="C1899" s="17">
        <f>IF(AND(問題解答データベース!D1899&gt;=小テスト!$C$6,D1899&lt;=小テスト!$E$6),1,0)</f>
        <v>1</v>
      </c>
      <c r="D1899" s="44">
        <f t="shared" si="88"/>
        <v>1898</v>
      </c>
      <c r="E1899" s="45" t="s">
        <v>2062</v>
      </c>
      <c r="F1899" s="46" t="s">
        <v>3807</v>
      </c>
    </row>
    <row r="1900" spans="1:6" ht="17">
      <c r="A1900" s="15">
        <f t="shared" ca="1" si="87"/>
        <v>1813</v>
      </c>
      <c r="B1900" s="16">
        <f t="shared" ca="1" si="89"/>
        <v>4.1934094369329267E-2</v>
      </c>
      <c r="C1900" s="17">
        <f>IF(AND(問題解答データベース!D1900&gt;=小テスト!$C$6,D1900&lt;=小テスト!$E$6),1,0)</f>
        <v>1</v>
      </c>
      <c r="D1900" s="44">
        <f t="shared" si="88"/>
        <v>1899</v>
      </c>
      <c r="E1900" s="45" t="s">
        <v>2063</v>
      </c>
      <c r="F1900" s="46" t="s">
        <v>3808</v>
      </c>
    </row>
    <row r="1901" spans="1:6" ht="17">
      <c r="A1901" s="15">
        <f t="shared" ca="1" si="87"/>
        <v>1273</v>
      </c>
      <c r="B1901" s="16">
        <f t="shared" ca="1" si="89"/>
        <v>0.33680685715345071</v>
      </c>
      <c r="C1901" s="17">
        <f>IF(AND(問題解答データベース!D1901&gt;=小テスト!$C$6,D1901&lt;=小テスト!$E$6),1,0)</f>
        <v>1</v>
      </c>
      <c r="D1901" s="44">
        <f t="shared" si="88"/>
        <v>1900</v>
      </c>
      <c r="E1901" s="45" t="s">
        <v>2064</v>
      </c>
      <c r="F1901" s="46" t="s">
        <v>3809</v>
      </c>
    </row>
    <row r="1902" spans="1:6" ht="17">
      <c r="D1902" s="44"/>
    </row>
    <row r="1903" spans="1:6" ht="17">
      <c r="D1903" s="44"/>
    </row>
    <row r="1904" spans="1:6" ht="17">
      <c r="D1904" s="44"/>
    </row>
    <row r="1905" spans="4:4" ht="17">
      <c r="D1905" s="44"/>
    </row>
    <row r="1906" spans="4:4" ht="17">
      <c r="D1906" s="44"/>
    </row>
    <row r="1907" spans="4:4" ht="17">
      <c r="D1907" s="44"/>
    </row>
    <row r="1908" spans="4:4" ht="17">
      <c r="D1908" s="44"/>
    </row>
    <row r="1909" spans="4:4" ht="17">
      <c r="D1909" s="44"/>
    </row>
    <row r="1910" spans="4:4" ht="17">
      <c r="D1910" s="44"/>
    </row>
    <row r="1911" spans="4:4" ht="17">
      <c r="D1911" s="44"/>
    </row>
    <row r="1912" spans="4:4" ht="17">
      <c r="D1912" s="44"/>
    </row>
    <row r="1913" spans="4:4" ht="17">
      <c r="D1913" s="44"/>
    </row>
    <row r="1914" spans="4:4" ht="17">
      <c r="D1914" s="44"/>
    </row>
    <row r="1915" spans="4:4" ht="17">
      <c r="D1915" s="44"/>
    </row>
    <row r="1916" spans="4:4" ht="17">
      <c r="D1916" s="44"/>
    </row>
  </sheetData>
  <phoneticPr fontId="1"/>
  <pageMargins left="0.70866141732283472" right="0.70866141732283472" top="0.74803149606299213" bottom="0.74803149606299213" header="0.31496062992125984" footer="0.31496062992125984"/>
  <pageSetup paperSize="9" scale="65" fitToHeight="0" orientation="portrait" horizontalDpi="300" verticalDpi="300"/>
  <headerFooter>
    <oddHeader>&amp;C&amp;"HGP行書体,ﾒﾃﾞｨｳﾑ"&amp;18マドンナ古文単語230　単語一覧</oddHead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R48"/>
  <sheetViews>
    <sheetView showGridLines="0" showRowColHeaders="0" tabSelected="1" zoomScale="75" zoomScaleNormal="85" workbookViewId="0">
      <pane ySplit="1" topLeftCell="A9" activePane="bottomLeft" state="frozenSplit"/>
      <selection pane="bottomLeft" activeCell="A2" sqref="A2"/>
    </sheetView>
  </sheetViews>
  <sheetFormatPr baseColWidth="10" defaultColWidth="9" defaultRowHeight="14"/>
  <cols>
    <col min="1" max="1" width="3.6640625" style="1" customWidth="1"/>
    <col min="2" max="2" width="6.33203125" style="1" bestFit="1" customWidth="1"/>
    <col min="3" max="3" width="8" style="1" bestFit="1" customWidth="1"/>
    <col min="4" max="4" width="4.33203125" style="1" bestFit="1" customWidth="1"/>
    <col min="5" max="5" width="9.6640625" style="1" bestFit="1" customWidth="1"/>
    <col min="6" max="6" width="20.83203125" style="1" customWidth="1"/>
    <col min="7" max="7" width="5.5" style="1" customWidth="1"/>
    <col min="8" max="8" width="9" style="1"/>
    <col min="9" max="9" width="8.33203125" style="1" bestFit="1" customWidth="1"/>
    <col min="10" max="10" width="9" style="1"/>
    <col min="11" max="11" width="7.83203125" style="1" bestFit="1" customWidth="1"/>
    <col min="12" max="12" width="9.6640625" style="1" bestFit="1" customWidth="1"/>
    <col min="13" max="13" width="3.5" style="1" customWidth="1"/>
    <col min="14" max="14" width="4.1640625" style="1" customWidth="1"/>
    <col min="15" max="15" width="13.33203125" style="1" bestFit="1" customWidth="1"/>
    <col min="16" max="16" width="10" style="1" bestFit="1" customWidth="1"/>
    <col min="17" max="17" width="16.33203125" style="1" bestFit="1" customWidth="1"/>
    <col min="18" max="18" width="5.1640625" style="1" customWidth="1"/>
    <col min="19" max="16384" width="9" style="1"/>
  </cols>
  <sheetData>
    <row r="1" spans="1:18" ht="32" thickBot="1">
      <c r="A1" s="49" t="s">
        <v>71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1"/>
    </row>
    <row r="2" spans="1:18" ht="15" thickBot="1"/>
    <row r="3" spans="1:18" ht="33">
      <c r="A3" s="10"/>
      <c r="I3" s="7" t="s">
        <v>1</v>
      </c>
      <c r="J3" s="3"/>
      <c r="K3" s="3"/>
      <c r="L3" s="3"/>
      <c r="N3" s="28"/>
      <c r="O3" s="48" t="s">
        <v>9</v>
      </c>
      <c r="P3" s="48"/>
      <c r="Q3" s="48"/>
      <c r="R3" s="29"/>
    </row>
    <row r="4" spans="1:18" ht="29" thickBot="1">
      <c r="A4" s="6"/>
      <c r="I4" s="9"/>
      <c r="N4" s="30"/>
      <c r="O4" s="31"/>
      <c r="P4" s="31"/>
      <c r="Q4" s="31"/>
      <c r="R4" s="32"/>
    </row>
    <row r="5" spans="1:18" ht="43" thickBot="1">
      <c r="K5" s="42" t="s">
        <v>2</v>
      </c>
      <c r="L5" s="43" t="s">
        <v>3</v>
      </c>
      <c r="M5" s="11"/>
      <c r="N5" s="30"/>
      <c r="O5" s="41">
        <v>1</v>
      </c>
      <c r="P5" s="33" t="s">
        <v>8</v>
      </c>
      <c r="Q5" s="41">
        <v>1900</v>
      </c>
      <c r="R5" s="32"/>
    </row>
    <row r="6" spans="1:18" ht="24" thickBot="1">
      <c r="C6" s="8">
        <f>O5</f>
        <v>1</v>
      </c>
      <c r="D6" s="2" t="s">
        <v>0</v>
      </c>
      <c r="E6" s="8">
        <f>Q5</f>
        <v>1900</v>
      </c>
      <c r="N6" s="30"/>
      <c r="O6" s="31"/>
      <c r="P6" s="31"/>
      <c r="Q6" s="31"/>
      <c r="R6" s="32"/>
    </row>
    <row r="7" spans="1:18">
      <c r="N7" s="30"/>
      <c r="O7" s="31"/>
      <c r="P7" s="31"/>
      <c r="Q7" s="31"/>
      <c r="R7" s="32"/>
    </row>
    <row r="8" spans="1:18" ht="22">
      <c r="B8" s="24">
        <v>1</v>
      </c>
      <c r="C8" s="52" t="str">
        <f ca="1">VLOOKUP(B8,問題解答データベース!$A$2:$F$1901,5,0)</f>
        <v>similar</v>
      </c>
      <c r="D8" s="52"/>
      <c r="E8" s="52"/>
      <c r="F8" s="52"/>
      <c r="G8" s="20"/>
      <c r="H8" s="20"/>
      <c r="I8" s="20"/>
      <c r="J8" s="21"/>
      <c r="K8" s="20"/>
      <c r="L8" s="25">
        <f ca="1">VLOOKUP(B8,問題解答データベース!$A$2:$F$1901,4,0)</f>
        <v>86</v>
      </c>
      <c r="M8" s="25"/>
      <c r="N8" s="30"/>
      <c r="O8" s="31"/>
      <c r="P8" s="31"/>
      <c r="Q8" s="31"/>
      <c r="R8" s="32"/>
    </row>
    <row r="9" spans="1:18" ht="22">
      <c r="B9" s="24">
        <f>B8+1</f>
        <v>2</v>
      </c>
      <c r="C9" s="52" t="str">
        <f ca="1">VLOOKUP(B9,問題解答データベース!$A$2:$F$1901,5,0)</f>
        <v>legacy</v>
      </c>
      <c r="D9" s="52"/>
      <c r="E9" s="52"/>
      <c r="F9" s="52"/>
      <c r="G9" s="20"/>
      <c r="H9" s="20"/>
      <c r="I9" s="20"/>
      <c r="J9" s="20"/>
      <c r="K9" s="23"/>
      <c r="L9" s="25">
        <f ca="1">VLOOKUP(B9,問題解答データベース!$A$2:$F$1901,4,0)</f>
        <v>1659</v>
      </c>
      <c r="M9" s="25"/>
      <c r="N9" s="30"/>
      <c r="O9" s="31"/>
      <c r="P9" s="31"/>
      <c r="Q9" s="31"/>
      <c r="R9" s="32"/>
    </row>
    <row r="10" spans="1:18" ht="22">
      <c r="B10" s="24">
        <f t="shared" ref="B10:B47" si="0">B9+1</f>
        <v>3</v>
      </c>
      <c r="C10" s="52" t="str">
        <f ca="1">VLOOKUP(B10,問題解答データベース!$A$2:$F$1901,5,0)</f>
        <v>condemn</v>
      </c>
      <c r="D10" s="52"/>
      <c r="E10" s="52"/>
      <c r="F10" s="52"/>
      <c r="G10" s="20"/>
      <c r="H10" s="20"/>
      <c r="I10" s="20"/>
      <c r="J10" s="20"/>
      <c r="K10" s="23"/>
      <c r="L10" s="25">
        <f ca="1">VLOOKUP(B10,問題解答データベース!$A$2:$F$1901,4,0)</f>
        <v>1612</v>
      </c>
      <c r="M10" s="25"/>
      <c r="N10" s="30"/>
      <c r="O10" s="31"/>
      <c r="P10" s="31"/>
      <c r="Q10" s="31"/>
      <c r="R10" s="32"/>
    </row>
    <row r="11" spans="1:18" ht="22">
      <c r="B11" s="24">
        <f t="shared" si="0"/>
        <v>4</v>
      </c>
      <c r="C11" s="52" t="str">
        <f ca="1">VLOOKUP(B11,問題解答データベース!$A$2:$F$1901,5,0)</f>
        <v>gallery</v>
      </c>
      <c r="D11" s="52"/>
      <c r="E11" s="52"/>
      <c r="F11" s="52"/>
      <c r="G11" s="20"/>
      <c r="H11" s="20"/>
      <c r="I11" s="20"/>
      <c r="J11" s="20"/>
      <c r="K11" s="23"/>
      <c r="L11" s="25">
        <f ca="1">VLOOKUP(B11,問題解答データベース!$A$2:$F$1901,4,0)</f>
        <v>1164</v>
      </c>
      <c r="M11" s="25"/>
      <c r="N11" s="30"/>
      <c r="O11" s="31"/>
      <c r="P11" s="31"/>
      <c r="Q11" s="31"/>
      <c r="R11" s="34"/>
    </row>
    <row r="12" spans="1:18" ht="22">
      <c r="B12" s="24">
        <f t="shared" si="0"/>
        <v>5</v>
      </c>
      <c r="C12" s="52" t="str">
        <f ca="1">VLOOKUP(B12,問題解答データベース!$A$2:$F$1901,5,0)</f>
        <v>ensure</v>
      </c>
      <c r="D12" s="52"/>
      <c r="E12" s="52"/>
      <c r="F12" s="52"/>
      <c r="G12" s="20"/>
      <c r="H12" s="20"/>
      <c r="I12" s="20"/>
      <c r="J12" s="20"/>
      <c r="K12" s="23"/>
      <c r="L12" s="25">
        <f ca="1">VLOOKUP(B12,問題解答データベース!$A$2:$F$1901,4,0)</f>
        <v>509</v>
      </c>
      <c r="M12" s="25"/>
      <c r="N12" s="30"/>
      <c r="O12" s="31"/>
      <c r="P12" s="31"/>
      <c r="Q12" s="31"/>
      <c r="R12" s="35"/>
    </row>
    <row r="13" spans="1:18" ht="22">
      <c r="B13" s="24">
        <f t="shared" si="0"/>
        <v>6</v>
      </c>
      <c r="C13" s="52" t="str">
        <f ca="1">VLOOKUP(B13,問題解答データベース!$A$2:$F$1901,5,0)</f>
        <v>necessary</v>
      </c>
      <c r="D13" s="52"/>
      <c r="E13" s="52"/>
      <c r="F13" s="52"/>
      <c r="G13" s="20"/>
      <c r="H13" s="20"/>
      <c r="I13" s="20"/>
      <c r="J13" s="20"/>
      <c r="K13" s="23"/>
      <c r="L13" s="25">
        <f ca="1">VLOOKUP(B13,問題解答データベース!$A$2:$F$1901,4,0)</f>
        <v>199</v>
      </c>
      <c r="M13" s="25"/>
      <c r="N13" s="30"/>
      <c r="O13" s="31"/>
      <c r="P13" s="31"/>
      <c r="Q13" s="31"/>
      <c r="R13" s="32"/>
    </row>
    <row r="14" spans="1:18" ht="22">
      <c r="B14" s="24">
        <f t="shared" si="0"/>
        <v>7</v>
      </c>
      <c r="C14" s="52" t="str">
        <f ca="1">VLOOKUP(B14,問題解答データベース!$A$2:$F$1901,5,0)</f>
        <v>notice</v>
      </c>
      <c r="D14" s="52"/>
      <c r="E14" s="52"/>
      <c r="F14" s="52"/>
      <c r="G14" s="20"/>
      <c r="H14" s="20"/>
      <c r="I14" s="20"/>
      <c r="J14" s="20"/>
      <c r="K14" s="23"/>
      <c r="L14" s="25">
        <f ca="1">VLOOKUP(B14,問題解答データベース!$A$2:$F$1901,4,0)</f>
        <v>101</v>
      </c>
      <c r="M14" s="25"/>
      <c r="N14" s="30"/>
      <c r="O14" s="31"/>
      <c r="P14" s="31"/>
      <c r="Q14" s="31"/>
      <c r="R14" s="32"/>
    </row>
    <row r="15" spans="1:18" ht="23" thickBot="1">
      <c r="B15" s="24">
        <f t="shared" si="0"/>
        <v>8</v>
      </c>
      <c r="C15" s="52" t="str">
        <f ca="1">VLOOKUP(B15,問題解答データベース!$A$2:$F$1901,5,0)</f>
        <v>undermine</v>
      </c>
      <c r="D15" s="52"/>
      <c r="E15" s="52"/>
      <c r="F15" s="52"/>
      <c r="G15" s="20"/>
      <c r="H15" s="20"/>
      <c r="I15" s="20"/>
      <c r="J15" s="20"/>
      <c r="K15" s="23"/>
      <c r="L15" s="25">
        <f ca="1">VLOOKUP(B15,問題解答データベース!$A$2:$F$1901,4,0)</f>
        <v>1432</v>
      </c>
      <c r="M15" s="25"/>
      <c r="N15" s="36"/>
      <c r="O15" s="37"/>
      <c r="P15" s="37"/>
      <c r="Q15" s="37"/>
      <c r="R15" s="38"/>
    </row>
    <row r="16" spans="1:18" ht="22">
      <c r="B16" s="24">
        <f t="shared" si="0"/>
        <v>9</v>
      </c>
      <c r="C16" s="52" t="str">
        <f ca="1">VLOOKUP(B16,問題解答データベース!$A$2:$F$1901,5,0)</f>
        <v>eligible</v>
      </c>
      <c r="D16" s="52"/>
      <c r="E16" s="52"/>
      <c r="F16" s="52"/>
      <c r="G16" s="20"/>
      <c r="H16" s="20"/>
      <c r="I16" s="20"/>
      <c r="J16" s="20"/>
      <c r="K16" s="23"/>
      <c r="L16" s="25">
        <f ca="1">VLOOKUP(B16,問題解答データベース!$A$2:$F$1901,4,0)</f>
        <v>1779</v>
      </c>
      <c r="M16" s="25"/>
    </row>
    <row r="17" spans="2:13" ht="22">
      <c r="B17" s="24">
        <f t="shared" si="0"/>
        <v>10</v>
      </c>
      <c r="C17" s="52" t="str">
        <f ca="1">VLOOKUP(B17,問題解答データベース!$A$2:$F$1901,5,0)</f>
        <v>discount</v>
      </c>
      <c r="D17" s="52"/>
      <c r="E17" s="52"/>
      <c r="F17" s="52"/>
      <c r="G17" s="20"/>
      <c r="H17" s="20"/>
      <c r="I17" s="20"/>
      <c r="J17" s="20"/>
      <c r="K17" s="23"/>
      <c r="L17" s="25">
        <f ca="1">VLOOKUP(B17,問題解答データベース!$A$2:$F$1901,4,0)</f>
        <v>672</v>
      </c>
      <c r="M17" s="25"/>
    </row>
    <row r="18" spans="2:13" ht="22">
      <c r="B18" s="24">
        <f t="shared" si="0"/>
        <v>11</v>
      </c>
      <c r="C18" s="52" t="str">
        <f ca="1">VLOOKUP(B18,問題解答データベース!$A$2:$F$1901,5,0)</f>
        <v>wipe</v>
      </c>
      <c r="D18" s="52"/>
      <c r="E18" s="52"/>
      <c r="F18" s="52"/>
      <c r="G18" s="20"/>
      <c r="H18" s="20"/>
      <c r="I18" s="20"/>
      <c r="J18" s="20"/>
      <c r="K18" s="23"/>
      <c r="L18" s="25">
        <f ca="1">VLOOKUP(B18,問題解答データベース!$A$2:$F$1901,4,0)</f>
        <v>1125</v>
      </c>
      <c r="M18" s="25"/>
    </row>
    <row r="19" spans="2:13" ht="22">
      <c r="B19" s="24">
        <f t="shared" si="0"/>
        <v>12</v>
      </c>
      <c r="C19" s="52" t="str">
        <f ca="1">VLOOKUP(B19,問題解答データベース!$A$2:$F$1901,5,0)</f>
        <v>advantage</v>
      </c>
      <c r="D19" s="52"/>
      <c r="E19" s="52"/>
      <c r="F19" s="52"/>
      <c r="G19" s="20"/>
      <c r="H19" s="20"/>
      <c r="I19" s="20"/>
      <c r="J19" s="20"/>
      <c r="K19" s="23"/>
      <c r="L19" s="25">
        <f ca="1">VLOOKUP(B19,問題解答データベース!$A$2:$F$1901,4,0)</f>
        <v>158</v>
      </c>
      <c r="M19" s="25"/>
    </row>
    <row r="20" spans="2:13" ht="22">
      <c r="B20" s="24">
        <f t="shared" si="0"/>
        <v>13</v>
      </c>
      <c r="C20" s="52" t="str">
        <f ca="1">VLOOKUP(B20,問題解答データベース!$A$2:$F$1901,5,0)</f>
        <v>perspective</v>
      </c>
      <c r="D20" s="52"/>
      <c r="E20" s="52"/>
      <c r="F20" s="52"/>
      <c r="G20" s="20"/>
      <c r="H20" s="20"/>
      <c r="I20" s="20"/>
      <c r="J20" s="20"/>
      <c r="K20" s="23"/>
      <c r="L20" s="25">
        <f ca="1">VLOOKUP(B20,問題解答データベース!$A$2:$F$1901,4,0)</f>
        <v>365</v>
      </c>
      <c r="M20" s="25"/>
    </row>
    <row r="21" spans="2:13" ht="22">
      <c r="B21" s="24">
        <f t="shared" si="0"/>
        <v>14</v>
      </c>
      <c r="C21" s="52" t="str">
        <f ca="1">VLOOKUP(B21,問題解答データベース!$A$2:$F$1901,5,0)</f>
        <v>grief</v>
      </c>
      <c r="D21" s="52"/>
      <c r="E21" s="52"/>
      <c r="F21" s="52"/>
      <c r="G21" s="20"/>
      <c r="H21" s="20"/>
      <c r="I21" s="20"/>
      <c r="J21" s="20"/>
      <c r="K21" s="23"/>
      <c r="L21" s="25">
        <f ca="1">VLOOKUP(B21,問題解答データベース!$A$2:$F$1901,4,0)</f>
        <v>1373</v>
      </c>
      <c r="M21" s="25"/>
    </row>
    <row r="22" spans="2:13" ht="22">
      <c r="B22" s="24">
        <f t="shared" si="0"/>
        <v>15</v>
      </c>
      <c r="C22" s="52" t="str">
        <f ca="1">VLOOKUP(B22,問題解答データベース!$A$2:$F$1901,5,0)</f>
        <v>vigorous</v>
      </c>
      <c r="D22" s="52"/>
      <c r="E22" s="52"/>
      <c r="F22" s="52"/>
      <c r="G22" s="20"/>
      <c r="H22" s="20"/>
      <c r="I22" s="20"/>
      <c r="J22" s="20"/>
      <c r="K22" s="23"/>
      <c r="L22" s="25">
        <f ca="1">VLOOKUP(B22,問題解答データベース!$A$2:$F$1901,4,0)</f>
        <v>1680</v>
      </c>
      <c r="M22" s="25"/>
    </row>
    <row r="23" spans="2:13" ht="22">
      <c r="B23" s="24">
        <f t="shared" si="0"/>
        <v>16</v>
      </c>
      <c r="C23" s="52" t="str">
        <f ca="1">VLOOKUP(B23,問題解答データベース!$A$2:$F$1901,5,0)</f>
        <v>crack</v>
      </c>
      <c r="D23" s="52"/>
      <c r="E23" s="52"/>
      <c r="F23" s="52"/>
      <c r="G23" s="20"/>
      <c r="H23" s="20"/>
      <c r="I23" s="20"/>
      <c r="J23" s="20"/>
      <c r="K23" s="23"/>
      <c r="L23" s="25">
        <f ca="1">VLOOKUP(B23,問題解答データベース!$A$2:$F$1901,4,0)</f>
        <v>1005</v>
      </c>
      <c r="M23" s="25"/>
    </row>
    <row r="24" spans="2:13" ht="22">
      <c r="B24" s="24">
        <f t="shared" si="0"/>
        <v>17</v>
      </c>
      <c r="C24" s="52" t="str">
        <f ca="1">VLOOKUP(B24,問題解答データベース!$A$2:$F$1901,5,0)</f>
        <v>chamber</v>
      </c>
      <c r="D24" s="52"/>
      <c r="E24" s="52"/>
      <c r="F24" s="52"/>
      <c r="G24" s="20"/>
      <c r="H24" s="20"/>
      <c r="I24" s="20"/>
      <c r="J24" s="20"/>
      <c r="K24" s="23"/>
      <c r="L24" s="25">
        <f ca="1">VLOOKUP(B24,問題解答データベース!$A$2:$F$1901,4,0)</f>
        <v>1250</v>
      </c>
      <c r="M24" s="25"/>
    </row>
    <row r="25" spans="2:13" ht="22">
      <c r="B25" s="24">
        <f t="shared" si="0"/>
        <v>18</v>
      </c>
      <c r="C25" s="52" t="str">
        <f ca="1">VLOOKUP(B25,問題解答データベース!$A$2:$F$1901,5,0)</f>
        <v>function</v>
      </c>
      <c r="D25" s="52"/>
      <c r="E25" s="52"/>
      <c r="F25" s="52"/>
      <c r="G25" s="20"/>
      <c r="H25" s="20"/>
      <c r="I25" s="20"/>
      <c r="J25" s="20"/>
      <c r="K25" s="23"/>
      <c r="L25" s="25">
        <f ca="1">VLOOKUP(B25,問題解答データベース!$A$2:$F$1901,4,0)</f>
        <v>168</v>
      </c>
      <c r="M25" s="25"/>
    </row>
    <row r="26" spans="2:13" ht="22">
      <c r="B26" s="24">
        <f t="shared" si="0"/>
        <v>19</v>
      </c>
      <c r="C26" s="52" t="str">
        <f ca="1">VLOOKUP(B26,問題解答データベース!$A$2:$F$1901,5,0)</f>
        <v>optimistic</v>
      </c>
      <c r="D26" s="52"/>
      <c r="E26" s="52"/>
      <c r="F26" s="52"/>
      <c r="G26" s="20"/>
      <c r="H26" s="20"/>
      <c r="I26" s="20"/>
      <c r="J26" s="20"/>
      <c r="K26" s="23"/>
      <c r="L26" s="25">
        <f ca="1">VLOOKUP(B26,問題解答データベース!$A$2:$F$1901,4,0)</f>
        <v>882</v>
      </c>
      <c r="M26" s="25"/>
    </row>
    <row r="27" spans="2:13" ht="22">
      <c r="B27" s="24">
        <f t="shared" si="0"/>
        <v>20</v>
      </c>
      <c r="C27" s="52" t="str">
        <f ca="1">VLOOKUP(B27,問題解答データベース!$A$2:$F$1901,5,0)</f>
        <v>threat</v>
      </c>
      <c r="D27" s="52"/>
      <c r="E27" s="52"/>
      <c r="F27" s="52"/>
      <c r="G27" s="20"/>
      <c r="H27" s="47"/>
      <c r="I27" s="20"/>
      <c r="J27" s="20"/>
      <c r="K27" s="23"/>
      <c r="L27" s="25">
        <f ca="1">VLOOKUP(B27,問題解答データベース!$A$2:$F$1901,4,0)</f>
        <v>352</v>
      </c>
      <c r="M27" s="25"/>
    </row>
    <row r="28" spans="2:13" ht="22">
      <c r="B28" s="24">
        <f t="shared" si="0"/>
        <v>21</v>
      </c>
      <c r="C28" s="52" t="str">
        <f ca="1">VLOOKUP(B28,問題解答データベース!$A$2:$F$1901,6,0)</f>
        <v>（～に）不慣れな（with）；（～に）（よく）知られていない（to）</v>
      </c>
      <c r="D28" s="52"/>
      <c r="E28" s="52"/>
      <c r="F28" s="52"/>
      <c r="G28" s="20"/>
      <c r="H28" s="47"/>
      <c r="I28" s="20"/>
      <c r="J28" s="20"/>
      <c r="K28" s="23"/>
      <c r="L28" s="25">
        <f ca="1">VLOOKUP(B28,問題解答データベース!$A$2:$F$1901,4,0)</f>
        <v>787</v>
      </c>
    </row>
    <row r="29" spans="2:13" ht="22">
      <c r="B29" s="24">
        <f t="shared" si="0"/>
        <v>22</v>
      </c>
      <c r="C29" s="52" t="str">
        <f ca="1">VLOOKUP(B29,問題解答データベース!$A$2:$F$1901,6,0)</f>
        <v>を特定する；を（～と）同一視する（with）</v>
      </c>
      <c r="D29" s="52"/>
      <c r="E29" s="52"/>
      <c r="F29" s="52"/>
      <c r="G29" s="20"/>
      <c r="H29" s="47"/>
      <c r="I29" s="20"/>
      <c r="J29" s="20"/>
      <c r="K29" s="23"/>
      <c r="L29" s="25">
        <f ca="1">VLOOKUP(B29,問題解答データベース!$A$2:$F$1901,4,0)</f>
        <v>201</v>
      </c>
    </row>
    <row r="30" spans="2:13" ht="22">
      <c r="B30" s="24">
        <f t="shared" si="0"/>
        <v>23</v>
      </c>
      <c r="C30" s="52" t="str">
        <f ca="1">VLOOKUP(B30,問題解答データベース!$A$2:$F$1901,6,0)</f>
        <v>を分類する；を機密扱いにする</v>
      </c>
      <c r="D30" s="52"/>
      <c r="E30" s="52"/>
      <c r="F30" s="52"/>
      <c r="G30" s="20"/>
      <c r="H30" s="47"/>
      <c r="I30" s="20"/>
      <c r="J30" s="20"/>
      <c r="K30" s="23"/>
      <c r="L30" s="25">
        <f ca="1">VLOOKUP(B30,問題解答データベース!$A$2:$F$1901,4,0)</f>
        <v>927</v>
      </c>
    </row>
    <row r="31" spans="2:13" ht="22">
      <c r="B31" s="24">
        <f t="shared" si="0"/>
        <v>24</v>
      </c>
      <c r="C31" s="52" t="str">
        <f ca="1">VLOOKUP(B31,問題解答データベース!$A$2:$F$1901,6,0)</f>
        <v>馬車；車両（＝ 【米】car）；立ち居振舞い；【英】輸送</v>
      </c>
      <c r="D31" s="52"/>
      <c r="E31" s="52"/>
      <c r="F31" s="52"/>
      <c r="G31" s="20"/>
      <c r="H31" s="47"/>
      <c r="I31" s="20"/>
      <c r="J31" s="20"/>
      <c r="K31" s="23"/>
      <c r="L31" s="25">
        <f ca="1">VLOOKUP(B31,問題解答データベース!$A$2:$F$1901,4,0)</f>
        <v>1753</v>
      </c>
    </row>
    <row r="32" spans="2:13" ht="22">
      <c r="B32" s="24">
        <f t="shared" si="0"/>
        <v>25</v>
      </c>
      <c r="C32" s="52" t="str">
        <f ca="1">VLOOKUP(B32,問題解答データベース!$A$2:$F$1901,6,0)</f>
        <v>燃料；勢いを増加させるもの</v>
      </c>
      <c r="D32" s="52"/>
      <c r="E32" s="52"/>
      <c r="F32" s="52"/>
      <c r="G32" s="20"/>
      <c r="H32" s="47"/>
      <c r="I32" s="20"/>
      <c r="J32" s="20"/>
      <c r="K32" s="23"/>
      <c r="L32" s="25">
        <f ca="1">VLOOKUP(B32,問題解答データベース!$A$2:$F$1901,4,0)</f>
        <v>265</v>
      </c>
    </row>
    <row r="33" spans="2:12" ht="22">
      <c r="B33" s="24">
        <f t="shared" si="0"/>
        <v>26</v>
      </c>
      <c r="C33" s="52" t="str">
        <f ca="1">VLOOKUP(B33,問題解答データベース!$A$2:$F$1901,6,0)</f>
        <v>感染（性）の；病気を伝染する</v>
      </c>
      <c r="D33" s="52"/>
      <c r="E33" s="52"/>
      <c r="F33" s="52"/>
      <c r="G33" s="20"/>
      <c r="H33" s="47"/>
      <c r="I33" s="20"/>
      <c r="J33" s="20"/>
      <c r="K33" s="23"/>
      <c r="L33" s="25">
        <f ca="1">VLOOKUP(B33,問題解答データベース!$A$2:$F$1901,4,0)</f>
        <v>1891</v>
      </c>
    </row>
    <row r="34" spans="2:12" ht="22">
      <c r="B34" s="24">
        <f t="shared" si="0"/>
        <v>27</v>
      </c>
      <c r="C34" s="52" t="str">
        <f ca="1">VLOOKUP(B34,問題解答データベース!$A$2:$F$1901,6,0)</f>
        <v>労働人口，総労働力；全従業員（数）</v>
      </c>
      <c r="D34" s="52"/>
      <c r="E34" s="52"/>
      <c r="F34" s="52"/>
      <c r="G34" s="20"/>
      <c r="H34" s="47"/>
      <c r="I34" s="20"/>
      <c r="J34" s="20"/>
      <c r="K34" s="23"/>
      <c r="L34" s="25">
        <f ca="1">VLOOKUP(B34,問題解答データベース!$A$2:$F$1901,4,0)</f>
        <v>950</v>
      </c>
    </row>
    <row r="35" spans="2:12" ht="22">
      <c r="B35" s="24">
        <f t="shared" si="0"/>
        <v>28</v>
      </c>
      <c r="C35" s="52" t="str">
        <f ca="1">VLOOKUP(B35,問題解答データベース!$A$2:$F$1901,6,0)</f>
        <v>（破壊された後の）残骸，瓦礫；がらくた</v>
      </c>
      <c r="D35" s="52"/>
      <c r="E35" s="52"/>
      <c r="F35" s="52"/>
      <c r="G35" s="20"/>
      <c r="H35" s="47"/>
      <c r="I35" s="20"/>
      <c r="J35" s="20"/>
      <c r="K35" s="23"/>
      <c r="L35" s="25">
        <f ca="1">VLOOKUP(B35,問題解答データベース!$A$2:$F$1901,4,0)</f>
        <v>1269</v>
      </c>
    </row>
    <row r="36" spans="2:12" ht="22">
      <c r="B36" s="24">
        <f t="shared" si="0"/>
        <v>29</v>
      </c>
      <c r="C36" s="52" t="str">
        <f ca="1">VLOOKUP(B36,問題解答データベース!$A$2:$F$1901,6,0)</f>
        <v>動機</v>
      </c>
      <c r="D36" s="52"/>
      <c r="E36" s="52"/>
      <c r="F36" s="52"/>
      <c r="G36" s="20"/>
      <c r="H36" s="47"/>
      <c r="I36" s="20"/>
      <c r="J36" s="20"/>
      <c r="K36" s="23"/>
      <c r="L36" s="25">
        <f ca="1">VLOOKUP(B36,問題解答データベース!$A$2:$F$1901,4,0)</f>
        <v>1274</v>
      </c>
    </row>
    <row r="37" spans="2:12" ht="22">
      <c r="B37" s="24">
        <f t="shared" si="0"/>
        <v>30</v>
      </c>
      <c r="C37" s="52" t="str">
        <f ca="1">VLOOKUP(B37,問題解答データベース!$A$2:$F$1901,6,0)</f>
        <v>（～と）会話をする（with）</v>
      </c>
      <c r="D37" s="52"/>
      <c r="E37" s="52"/>
      <c r="F37" s="52"/>
      <c r="G37" s="20"/>
      <c r="H37" s="47"/>
      <c r="I37" s="20"/>
      <c r="J37" s="20"/>
      <c r="K37" s="23"/>
      <c r="L37" s="25">
        <f ca="1">VLOOKUP(B37,問題解答データベース!$A$2:$F$1901,4,0)</f>
        <v>1633</v>
      </c>
    </row>
    <row r="38" spans="2:12" ht="22">
      <c r="B38" s="24">
        <f t="shared" si="0"/>
        <v>31</v>
      </c>
      <c r="C38" s="52" t="str">
        <f ca="1">VLOOKUP(B38,問題解答データベース!$A$2:$F$1901,6,0)</f>
        <v>を宣言する；を申告する</v>
      </c>
      <c r="D38" s="52"/>
      <c r="E38" s="52"/>
      <c r="F38" s="52"/>
      <c r="G38" s="20"/>
      <c r="H38" s="47"/>
      <c r="I38" s="20"/>
      <c r="J38" s="20"/>
      <c r="K38" s="23"/>
      <c r="L38" s="25">
        <f ca="1">VLOOKUP(B38,問題解答データベース!$A$2:$F$1901,4,0)</f>
        <v>720</v>
      </c>
    </row>
    <row r="39" spans="2:12" ht="22">
      <c r="B39" s="24">
        <f t="shared" si="0"/>
        <v>32</v>
      </c>
      <c r="C39" s="52" t="str">
        <f ca="1">VLOOKUP(B39,問題解答データベース!$A$2:$F$1901,6,0)</f>
        <v>正確な（≒ exact）；精密な；まさにその</v>
      </c>
      <c r="D39" s="52"/>
      <c r="E39" s="52"/>
      <c r="F39" s="52"/>
      <c r="G39" s="20"/>
      <c r="H39" s="47"/>
      <c r="I39" s="20"/>
      <c r="J39" s="20"/>
      <c r="K39" s="23"/>
      <c r="L39" s="25">
        <f ca="1">VLOOKUP(B39,問題解答データベース!$A$2:$F$1901,4,0)</f>
        <v>599</v>
      </c>
    </row>
    <row r="40" spans="2:12" ht="22">
      <c r="B40" s="24">
        <f t="shared" si="0"/>
        <v>33</v>
      </c>
      <c r="C40" s="52" t="str">
        <f ca="1">VLOOKUP(B40,問題解答データベース!$A$2:$F$1901,6,0)</f>
        <v>をかき回す；を揺り動かす</v>
      </c>
      <c r="D40" s="52"/>
      <c r="E40" s="52"/>
      <c r="F40" s="52"/>
      <c r="G40" s="20"/>
      <c r="H40" s="47"/>
      <c r="I40" s="20"/>
      <c r="J40" s="20"/>
      <c r="K40" s="23"/>
      <c r="L40" s="25">
        <f ca="1">VLOOKUP(B40,問題解答データベース!$A$2:$F$1901,4,0)</f>
        <v>1520</v>
      </c>
    </row>
    <row r="41" spans="2:12" ht="22">
      <c r="B41" s="24">
        <f t="shared" si="0"/>
        <v>34</v>
      </c>
      <c r="C41" s="52" t="str">
        <f ca="1">VLOOKUP(B41,問題解答データベース!$A$2:$F$1901,6,0)</f>
        <v>を募る；に新人を補充する</v>
      </c>
      <c r="D41" s="52"/>
      <c r="E41" s="52"/>
      <c r="F41" s="52"/>
      <c r="G41" s="20"/>
      <c r="H41" s="47"/>
      <c r="I41" s="20"/>
      <c r="J41" s="20"/>
      <c r="K41" s="23"/>
      <c r="L41" s="25">
        <f ca="1">VLOOKUP(B41,問題解答データベース!$A$2:$F$1901,4,0)</f>
        <v>1232</v>
      </c>
    </row>
    <row r="42" spans="2:12" ht="22">
      <c r="B42" s="24">
        <f t="shared" si="0"/>
        <v>35</v>
      </c>
      <c r="C42" s="52" t="str">
        <f ca="1">VLOOKUP(B42,問題解答データベース!$A$2:$F$1901,6,0)</f>
        <v>を主張する；を擁護する</v>
      </c>
      <c r="D42" s="52"/>
      <c r="E42" s="52"/>
      <c r="F42" s="52"/>
      <c r="G42" s="20"/>
      <c r="H42" s="47"/>
      <c r="I42" s="20"/>
      <c r="J42" s="20"/>
      <c r="K42" s="23"/>
      <c r="L42" s="25">
        <f ca="1">VLOOKUP(B42,問題解答データベース!$A$2:$F$1901,4,0)</f>
        <v>1110</v>
      </c>
    </row>
    <row r="43" spans="2:12" ht="22">
      <c r="B43" s="24">
        <f t="shared" si="0"/>
        <v>36</v>
      </c>
      <c r="C43" s="52" t="str">
        <f ca="1">VLOOKUP(B43,問題解答データベース!$A$2:$F$1901,6,0)</f>
        <v>生まれながらの；固有の</v>
      </c>
      <c r="D43" s="52"/>
      <c r="E43" s="52"/>
      <c r="F43" s="52"/>
      <c r="G43" s="20"/>
      <c r="H43" s="47"/>
      <c r="I43" s="20"/>
      <c r="J43" s="20"/>
      <c r="K43" s="23"/>
      <c r="L43" s="25">
        <f ca="1">VLOOKUP(B43,問題解答データベース!$A$2:$F$1901,4,0)</f>
        <v>1290</v>
      </c>
    </row>
    <row r="44" spans="2:12" ht="22">
      <c r="B44" s="24">
        <f t="shared" si="0"/>
        <v>37</v>
      </c>
      <c r="C44" s="52" t="str">
        <f ca="1">VLOOKUP(B44,問題解答データベース!$A$2:$F$1901,6,0)</f>
        <v>に挨拶する；を迎える</v>
      </c>
      <c r="D44" s="52"/>
      <c r="E44" s="52"/>
      <c r="F44" s="52"/>
      <c r="G44" s="20"/>
      <c r="H44" s="47"/>
      <c r="I44" s="20"/>
      <c r="J44" s="20"/>
      <c r="K44" s="23"/>
      <c r="L44" s="25">
        <f ca="1">VLOOKUP(B44,問題解答データベース!$A$2:$F$1901,4,0)</f>
        <v>812</v>
      </c>
    </row>
    <row r="45" spans="2:12" ht="22">
      <c r="B45" s="24">
        <f t="shared" si="0"/>
        <v>38</v>
      </c>
      <c r="C45" s="52" t="str">
        <f ca="1">VLOOKUP(B45,問題解答データベース!$A$2:$F$1901,6,0)</f>
        <v>量（⇔ quality ⇒ 69）；分量</v>
      </c>
      <c r="D45" s="52"/>
      <c r="E45" s="52"/>
      <c r="F45" s="52"/>
      <c r="G45" s="20"/>
      <c r="H45" s="47"/>
      <c r="I45" s="20"/>
      <c r="J45" s="20"/>
      <c r="K45" s="23"/>
      <c r="L45" s="25">
        <f ca="1">VLOOKUP(B45,問題解答データベース!$A$2:$F$1901,4,0)</f>
        <v>471</v>
      </c>
    </row>
    <row r="46" spans="2:12" ht="22">
      <c r="B46" s="24">
        <f t="shared" si="0"/>
        <v>39</v>
      </c>
      <c r="C46" s="52" t="str">
        <f ca="1">VLOOKUP(B46,問題解答データベース!$A$2:$F$1901,6,0)</f>
        <v>を改革する；を改心させる</v>
      </c>
      <c r="D46" s="52"/>
      <c r="E46" s="52"/>
      <c r="F46" s="52"/>
      <c r="G46" s="20"/>
      <c r="H46" s="47"/>
      <c r="I46" s="20"/>
      <c r="J46" s="20"/>
      <c r="K46" s="23"/>
      <c r="L46" s="25">
        <f ca="1">VLOOKUP(B46,問題解答データベース!$A$2:$F$1901,4,0)</f>
        <v>735</v>
      </c>
    </row>
    <row r="47" spans="2:12" ht="22">
      <c r="B47" s="24">
        <f t="shared" si="0"/>
        <v>40</v>
      </c>
      <c r="C47" s="52" t="str">
        <f ca="1">VLOOKUP(B47,問題解答データベース!$A$2:$F$1901,6,0)</f>
        <v>を（ぱっと）裏返す；を軽くはじく</v>
      </c>
      <c r="D47" s="52"/>
      <c r="E47" s="52"/>
      <c r="F47" s="52"/>
      <c r="G47" s="20"/>
      <c r="H47" s="47"/>
      <c r="I47" s="20"/>
      <c r="J47" s="20"/>
      <c r="K47" s="23"/>
      <c r="L47" s="25">
        <f ca="1">VLOOKUP(B47,問題解答データベース!$A$2:$F$1901,4,0)</f>
        <v>1335</v>
      </c>
    </row>
    <row r="48" spans="2:12" ht="22">
      <c r="B48" s="24"/>
      <c r="C48" s="52"/>
      <c r="D48" s="52"/>
      <c r="E48" s="52"/>
      <c r="F48" s="52"/>
    </row>
  </sheetData>
  <mergeCells count="43">
    <mergeCell ref="C44:F44"/>
    <mergeCell ref="C45:F45"/>
    <mergeCell ref="C46:F46"/>
    <mergeCell ref="C47:F47"/>
    <mergeCell ref="C48:F48"/>
    <mergeCell ref="C43:F43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31:F31"/>
    <mergeCell ref="C17:F17"/>
    <mergeCell ref="C18:F18"/>
    <mergeCell ref="C13:F13"/>
    <mergeCell ref="C14:F14"/>
    <mergeCell ref="C26:F26"/>
    <mergeCell ref="C27:F27"/>
    <mergeCell ref="C20:F20"/>
    <mergeCell ref="C21:F21"/>
    <mergeCell ref="C22:F22"/>
    <mergeCell ref="C23:F23"/>
    <mergeCell ref="C24:F24"/>
    <mergeCell ref="C25:F25"/>
    <mergeCell ref="C28:F28"/>
    <mergeCell ref="C29:F29"/>
    <mergeCell ref="C30:F30"/>
    <mergeCell ref="O3:Q3"/>
    <mergeCell ref="A1:L1"/>
    <mergeCell ref="C19:F19"/>
    <mergeCell ref="C8:F8"/>
    <mergeCell ref="C9:F9"/>
    <mergeCell ref="C10:F10"/>
    <mergeCell ref="C11:F11"/>
    <mergeCell ref="C12:F12"/>
    <mergeCell ref="C15:F15"/>
    <mergeCell ref="C16:F16"/>
  </mergeCells>
  <phoneticPr fontId="1"/>
  <dataValidations count="2">
    <dataValidation type="whole" operator="greaterThanOrEqual" allowBlank="1" showInputMessage="1" showErrorMessage="1" sqref="O5" xr:uid="{00000000-0002-0000-0100-000000000000}">
      <formula1>1</formula1>
    </dataValidation>
    <dataValidation type="whole" operator="greaterThanOrEqual" allowBlank="1" showInputMessage="1" showErrorMessage="1" sqref="Q5" xr:uid="{00000000-0002-0000-0100-000001000000}">
      <formula1>O5</formula1>
    </dataValidation>
  </dataValidations>
  <pageMargins left="0.7" right="0.7" top="0.75" bottom="0.75" header="0.3" footer="0.3"/>
  <pageSetup paperSize="9" scale="75" orientation="portrait" horizontalDpi="300" verticalDpi="300"/>
  <headerFooter>
    <oddHeader>&amp;C&amp;"HGP創英角ﾎﾟｯﾌﾟ体,標準"&amp;36〇〇〇〇小テスト</oddHeader>
    <oddFooter>&amp;C&amp;"UD デジタル 教科書体 NP-B,標準"&amp;16〇〇塾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2:Q134"/>
  <sheetViews>
    <sheetView showGridLines="0" showRowColHeaders="0" zoomScale="88" zoomScaleNormal="85" workbookViewId="0">
      <selection activeCell="G47" sqref="G47"/>
    </sheetView>
  </sheetViews>
  <sheetFormatPr baseColWidth="10" defaultColWidth="9" defaultRowHeight="14"/>
  <cols>
    <col min="1" max="1" width="3.6640625" style="1" customWidth="1"/>
    <col min="2" max="2" width="6.1640625" style="1" bestFit="1" customWidth="1"/>
    <col min="3" max="6" width="20.83203125" style="1" customWidth="1"/>
    <col min="7" max="7" width="43.83203125" style="1" bestFit="1" customWidth="1"/>
    <col min="8" max="11" width="9" style="1"/>
    <col min="12" max="12" width="9" style="1" bestFit="1" customWidth="1"/>
    <col min="13" max="13" width="9" style="1"/>
    <col min="14" max="14" width="3.1640625" style="1" bestFit="1" customWidth="1"/>
    <col min="15" max="16384" width="9" style="1"/>
  </cols>
  <sheetData>
    <row r="2" spans="1:17" ht="33">
      <c r="A2" s="6"/>
      <c r="B2" s="54" t="s">
        <v>10</v>
      </c>
      <c r="C2" s="54"/>
      <c r="D2" s="54"/>
      <c r="E2" s="54"/>
      <c r="F2" s="54"/>
      <c r="G2" s="54"/>
      <c r="H2" s="54"/>
      <c r="I2" s="54"/>
      <c r="J2" s="54"/>
      <c r="K2" s="54"/>
    </row>
    <row r="5" spans="1:17" ht="17">
      <c r="B5" s="24">
        <v>1</v>
      </c>
      <c r="C5" s="53" t="str">
        <f ca="1">小テスト!C8</f>
        <v>similar</v>
      </c>
      <c r="D5" s="53"/>
      <c r="E5" s="53"/>
      <c r="F5" s="53"/>
      <c r="G5" s="26" t="str">
        <f ca="1">VLOOKUP(B5,問題解答データベース!$A$2:$F$1901,6,0)</f>
        <v>似ている，類似した；同様の</v>
      </c>
      <c r="H5" s="26"/>
      <c r="I5" s="26"/>
      <c r="J5" s="26"/>
      <c r="K5" s="20"/>
      <c r="L5" s="22">
        <f ca="1">VLOOKUP(B5,問題解答データベース!$A$2:$F$1901,4,0)</f>
        <v>86</v>
      </c>
    </row>
    <row r="6" spans="1:17" ht="17">
      <c r="B6" s="24">
        <f>B5+1</f>
        <v>2</v>
      </c>
      <c r="C6" s="53" t="str">
        <f ca="1">小テスト!C9</f>
        <v>legacy</v>
      </c>
      <c r="D6" s="53"/>
      <c r="E6" s="53"/>
      <c r="F6" s="53"/>
      <c r="G6" s="26" t="str">
        <f ca="1">VLOOKUP(B6,問題解答データベース!$A$2:$F$1901,6,0)</f>
        <v>遺産</v>
      </c>
      <c r="H6" s="26"/>
      <c r="I6" s="26"/>
      <c r="J6" s="26"/>
      <c r="K6" s="23"/>
      <c r="L6" s="22">
        <f ca="1">VLOOKUP(B6,問題解答データベース!$A$2:$F$1901,4,0)</f>
        <v>1659</v>
      </c>
    </row>
    <row r="7" spans="1:17" ht="17">
      <c r="B7" s="24">
        <f t="shared" ref="B7:B44" si="0">B6+1</f>
        <v>3</v>
      </c>
      <c r="C7" s="53" t="str">
        <f ca="1">小テスト!C10</f>
        <v>condemn</v>
      </c>
      <c r="D7" s="53"/>
      <c r="E7" s="53"/>
      <c r="F7" s="53"/>
      <c r="G7" s="26" t="str">
        <f ca="1">VLOOKUP(B7,問題解答データベース!$A$2:$F$1901,6,0)</f>
        <v>を非難する；〔受身形で〕（～の刑を）宣告される（to）</v>
      </c>
      <c r="H7" s="26"/>
      <c r="I7" s="26"/>
      <c r="J7" s="26"/>
      <c r="K7" s="23"/>
      <c r="L7" s="22">
        <f ca="1">VLOOKUP(B7,問題解答データベース!$A$2:$F$1901,4,0)</f>
        <v>1612</v>
      </c>
    </row>
    <row r="8" spans="1:17" ht="17">
      <c r="B8" s="24">
        <f t="shared" si="0"/>
        <v>4</v>
      </c>
      <c r="C8" s="53" t="str">
        <f ca="1">小テスト!C11</f>
        <v>gallery</v>
      </c>
      <c r="D8" s="53"/>
      <c r="E8" s="53"/>
      <c r="F8" s="53"/>
      <c r="G8" s="26" t="str">
        <f ca="1">VLOOKUP(B8,問題解答データベース!$A$2:$F$1901,6,0)</f>
        <v>美術館，画廊；観客，ギャラリー；回廊</v>
      </c>
      <c r="H8" s="26"/>
      <c r="I8" s="26"/>
      <c r="J8" s="26"/>
      <c r="K8" s="23"/>
      <c r="L8" s="22">
        <f ca="1">VLOOKUP(B8,問題解答データベース!$A$2:$F$1901,4,0)</f>
        <v>1164</v>
      </c>
    </row>
    <row r="9" spans="1:17" ht="17">
      <c r="B9" s="24">
        <f t="shared" si="0"/>
        <v>5</v>
      </c>
      <c r="C9" s="53" t="str">
        <f ca="1">小テスト!C12</f>
        <v>ensure</v>
      </c>
      <c r="D9" s="53"/>
      <c r="E9" s="53"/>
      <c r="F9" s="53"/>
      <c r="G9" s="26" t="str">
        <f ca="1">VLOOKUP(B9,問題解答データベース!$A$2:$F$1901,6,0)</f>
        <v>を確実にする（≒ make sure）；を守る</v>
      </c>
      <c r="H9" s="26"/>
      <c r="I9" s="26"/>
      <c r="J9" s="26"/>
      <c r="K9" s="23"/>
      <c r="L9" s="22">
        <f ca="1">VLOOKUP(B9,問題解答データベース!$A$2:$F$1901,4,0)</f>
        <v>509</v>
      </c>
      <c r="N9" s="1" t="s">
        <v>7</v>
      </c>
    </row>
    <row r="10" spans="1:17" ht="18">
      <c r="B10" s="24">
        <f t="shared" si="0"/>
        <v>6</v>
      </c>
      <c r="C10" s="53" t="str">
        <f ca="1">小テスト!C13</f>
        <v>necessary</v>
      </c>
      <c r="D10" s="53"/>
      <c r="E10" s="53"/>
      <c r="F10" s="53"/>
      <c r="G10" s="26" t="str">
        <f ca="1">VLOOKUP(B10,問題解答データベース!$A$2:$F$1901,6,0)</f>
        <v>必要な（≒ essential ⇒ 186）</v>
      </c>
      <c r="H10" s="26"/>
      <c r="I10" s="26"/>
      <c r="J10" s="26"/>
      <c r="K10" s="23"/>
      <c r="L10" s="22">
        <f ca="1">VLOOKUP(B10,問題解答データベース!$A$2:$F$1901,4,0)</f>
        <v>199</v>
      </c>
      <c r="Q10" s="4"/>
    </row>
    <row r="11" spans="1:17" ht="17">
      <c r="B11" s="24">
        <f t="shared" si="0"/>
        <v>7</v>
      </c>
      <c r="C11" s="53" t="str">
        <f ca="1">小テスト!C14</f>
        <v>notice</v>
      </c>
      <c r="D11" s="53"/>
      <c r="E11" s="53"/>
      <c r="F11" s="53"/>
      <c r="G11" s="26" t="str">
        <f ca="1">VLOOKUP(B11,問題解答データベース!$A$2:$F$1901,6,0)</f>
        <v>に気づく</v>
      </c>
      <c r="H11" s="26"/>
      <c r="I11" s="26"/>
      <c r="J11" s="26"/>
      <c r="K11" s="23"/>
      <c r="L11" s="22">
        <f ca="1">VLOOKUP(B11,問題解答データベース!$A$2:$F$1901,4,0)</f>
        <v>101</v>
      </c>
      <c r="Q11" s="5"/>
    </row>
    <row r="12" spans="1:17" ht="17">
      <c r="B12" s="24">
        <f t="shared" si="0"/>
        <v>8</v>
      </c>
      <c r="C12" s="53" t="str">
        <f ca="1">小テスト!C15</f>
        <v>undermine</v>
      </c>
      <c r="D12" s="53"/>
      <c r="E12" s="53"/>
      <c r="F12" s="53"/>
      <c r="G12" s="26" t="str">
        <f ca="1">VLOOKUP(B12,問題解答データベース!$A$2:$F$1901,6,0)</f>
        <v>を徐々にむしばむ；を侵食する</v>
      </c>
      <c r="H12" s="26"/>
      <c r="I12" s="26"/>
      <c r="J12" s="26"/>
      <c r="K12" s="23"/>
      <c r="L12" s="22">
        <f ca="1">VLOOKUP(B12,問題解答データベース!$A$2:$F$1901,4,0)</f>
        <v>1432</v>
      </c>
    </row>
    <row r="13" spans="1:17" ht="17">
      <c r="B13" s="24">
        <f t="shared" si="0"/>
        <v>9</v>
      </c>
      <c r="C13" s="53" t="str">
        <f ca="1">小テスト!C16</f>
        <v>eligible</v>
      </c>
      <c r="D13" s="53"/>
      <c r="E13" s="53"/>
      <c r="F13" s="53"/>
      <c r="G13" s="26" t="str">
        <f ca="1">VLOOKUP(B13,問題解答データベース!$A$2:$F$1901,6,0)</f>
        <v>適格の，資格のある；（結婚相手として）望ましい</v>
      </c>
      <c r="H13" s="26"/>
      <c r="I13" s="26"/>
      <c r="J13" s="26"/>
      <c r="K13" s="23"/>
      <c r="L13" s="22">
        <f ca="1">VLOOKUP(B13,問題解答データベース!$A$2:$F$1901,4,0)</f>
        <v>1779</v>
      </c>
    </row>
    <row r="14" spans="1:17" ht="17">
      <c r="B14" s="24">
        <f t="shared" si="0"/>
        <v>10</v>
      </c>
      <c r="C14" s="53" t="str">
        <f ca="1">小テスト!C17</f>
        <v>discount</v>
      </c>
      <c r="D14" s="53"/>
      <c r="E14" s="53"/>
      <c r="F14" s="53"/>
      <c r="G14" s="26" t="str">
        <f ca="1">VLOOKUP(B14,問題解答データベース!$A$2:$F$1901,6,0)</f>
        <v>割引</v>
      </c>
      <c r="H14" s="26"/>
      <c r="I14" s="26"/>
      <c r="J14" s="26"/>
      <c r="K14" s="23"/>
      <c r="L14" s="22">
        <f ca="1">VLOOKUP(B14,問題解答データベース!$A$2:$F$1901,4,0)</f>
        <v>672</v>
      </c>
    </row>
    <row r="15" spans="1:17" ht="17">
      <c r="B15" s="24">
        <f t="shared" si="0"/>
        <v>11</v>
      </c>
      <c r="C15" s="53" t="str">
        <f ca="1">小テスト!C18</f>
        <v>wipe</v>
      </c>
      <c r="D15" s="53"/>
      <c r="E15" s="53"/>
      <c r="F15" s="53"/>
      <c r="G15" s="26" t="str">
        <f ca="1">VLOOKUP(B15,問題解答データベース!$A$2:$F$1901,6,0)</f>
        <v>を拭く；を拭き取る；を消し去る</v>
      </c>
      <c r="H15" s="26"/>
      <c r="I15" s="26"/>
      <c r="J15" s="26"/>
      <c r="K15" s="23"/>
      <c r="L15" s="22">
        <f ca="1">VLOOKUP(B15,問題解答データベース!$A$2:$F$1901,4,0)</f>
        <v>1125</v>
      </c>
    </row>
    <row r="16" spans="1:17" ht="17">
      <c r="B16" s="24">
        <f t="shared" si="0"/>
        <v>12</v>
      </c>
      <c r="C16" s="53" t="str">
        <f ca="1">小テスト!C19</f>
        <v>advantage</v>
      </c>
      <c r="D16" s="53"/>
      <c r="E16" s="53"/>
      <c r="F16" s="53"/>
      <c r="G16" s="26" t="str">
        <f ca="1">VLOOKUP(B16,問題解答データベース!$A$2:$F$1901,6,0)</f>
        <v>利点；優勢；有利</v>
      </c>
      <c r="H16" s="26"/>
      <c r="I16" s="26"/>
      <c r="J16" s="26"/>
      <c r="K16" s="23"/>
      <c r="L16" s="22">
        <f ca="1">VLOOKUP(B16,問題解答データベース!$A$2:$F$1901,4,0)</f>
        <v>158</v>
      </c>
    </row>
    <row r="17" spans="2:12" ht="17">
      <c r="B17" s="24">
        <f t="shared" si="0"/>
        <v>13</v>
      </c>
      <c r="C17" s="53" t="str">
        <f ca="1">小テスト!C20</f>
        <v>perspective</v>
      </c>
      <c r="D17" s="53"/>
      <c r="E17" s="53"/>
      <c r="F17" s="53"/>
      <c r="G17" s="26" t="str">
        <f ca="1">VLOOKUP(B17,問題解答データベース!$A$2:$F$1901,6,0)</f>
        <v>観点，見方；大局観；遠近法</v>
      </c>
      <c r="H17" s="26"/>
      <c r="I17" s="26"/>
      <c r="J17" s="26"/>
      <c r="K17" s="23"/>
      <c r="L17" s="22">
        <f ca="1">VLOOKUP(B17,問題解答データベース!$A$2:$F$1901,4,0)</f>
        <v>365</v>
      </c>
    </row>
    <row r="18" spans="2:12" ht="17">
      <c r="B18" s="24">
        <f t="shared" si="0"/>
        <v>14</v>
      </c>
      <c r="C18" s="53" t="str">
        <f ca="1">小テスト!C21</f>
        <v>grief</v>
      </c>
      <c r="D18" s="53"/>
      <c r="E18" s="53"/>
      <c r="F18" s="53"/>
      <c r="G18" s="26" t="str">
        <f ca="1">VLOOKUP(B18,問題解答データベース!$A$2:$F$1901,6,0)</f>
        <v>深い悲しみ</v>
      </c>
      <c r="H18" s="26"/>
      <c r="I18" s="26"/>
      <c r="J18" s="26"/>
      <c r="K18" s="23"/>
      <c r="L18" s="22">
        <f ca="1">VLOOKUP(B18,問題解答データベース!$A$2:$F$1901,4,0)</f>
        <v>1373</v>
      </c>
    </row>
    <row r="19" spans="2:12" ht="17">
      <c r="B19" s="24">
        <f t="shared" si="0"/>
        <v>15</v>
      </c>
      <c r="C19" s="53" t="str">
        <f ca="1">小テスト!C22</f>
        <v>vigorous</v>
      </c>
      <c r="D19" s="53"/>
      <c r="E19" s="53"/>
      <c r="F19" s="53"/>
      <c r="G19" s="26" t="str">
        <f ca="1">VLOOKUP(B19,問題解答データベース!$A$2:$F$1901,6,0)</f>
        <v>精力的な；激しい；活力のある</v>
      </c>
      <c r="H19" s="26"/>
      <c r="I19" s="26"/>
      <c r="J19" s="26"/>
      <c r="K19" s="23"/>
      <c r="L19" s="22">
        <f ca="1">VLOOKUP(B19,問題解答データベース!$A$2:$F$1901,4,0)</f>
        <v>1680</v>
      </c>
    </row>
    <row r="20" spans="2:12" ht="17">
      <c r="B20" s="24">
        <f t="shared" si="0"/>
        <v>16</v>
      </c>
      <c r="C20" s="53" t="str">
        <f ca="1">小テスト!C23</f>
        <v>crack</v>
      </c>
      <c r="D20" s="53"/>
      <c r="E20" s="53"/>
      <c r="F20" s="53"/>
      <c r="G20" s="26" t="str">
        <f ca="1">VLOOKUP(B20,問題解答データベース!$A$2:$F$1901,6,0)</f>
        <v>ひびが入る；にひびを入れる</v>
      </c>
      <c r="H20" s="26"/>
      <c r="I20" s="26"/>
      <c r="J20" s="26"/>
      <c r="K20" s="23"/>
      <c r="L20" s="22">
        <f ca="1">VLOOKUP(B20,問題解答データベース!$A$2:$F$1901,4,0)</f>
        <v>1005</v>
      </c>
    </row>
    <row r="21" spans="2:12" ht="17">
      <c r="B21" s="24">
        <f t="shared" si="0"/>
        <v>17</v>
      </c>
      <c r="C21" s="53" t="str">
        <f ca="1">小テスト!C24</f>
        <v>chamber</v>
      </c>
      <c r="D21" s="53"/>
      <c r="E21" s="53"/>
      <c r="F21" s="53"/>
      <c r="G21" s="26" t="str">
        <f ca="1">VLOOKUP(B21,問題解答データベース!$A$2:$F$1901,6,0)</f>
        <v>（特定の目的の）部屋；議場；〔the ～〕議院</v>
      </c>
      <c r="H21" s="26"/>
      <c r="I21" s="26"/>
      <c r="J21" s="26"/>
      <c r="K21" s="23"/>
      <c r="L21" s="22">
        <f ca="1">VLOOKUP(B21,問題解答データベース!$A$2:$F$1901,4,0)</f>
        <v>1250</v>
      </c>
    </row>
    <row r="22" spans="2:12" ht="17">
      <c r="B22" s="24">
        <f t="shared" si="0"/>
        <v>18</v>
      </c>
      <c r="C22" s="53" t="str">
        <f ca="1">小テスト!C25</f>
        <v>function</v>
      </c>
      <c r="D22" s="53"/>
      <c r="E22" s="53"/>
      <c r="F22" s="53"/>
      <c r="G22" s="26" t="str">
        <f ca="1">VLOOKUP(B22,問題解答データベース!$A$2:$F$1901,6,0)</f>
        <v>機能；関数</v>
      </c>
      <c r="H22" s="26"/>
      <c r="I22" s="26"/>
      <c r="J22" s="26"/>
      <c r="K22" s="23"/>
      <c r="L22" s="22">
        <f ca="1">VLOOKUP(B22,問題解答データベース!$A$2:$F$1901,4,0)</f>
        <v>168</v>
      </c>
    </row>
    <row r="23" spans="2:12" ht="17">
      <c r="B23" s="24">
        <f t="shared" si="0"/>
        <v>19</v>
      </c>
      <c r="C23" s="53" t="str">
        <f ca="1">小テスト!C26</f>
        <v>optimistic</v>
      </c>
      <c r="D23" s="53"/>
      <c r="E23" s="53"/>
      <c r="F23" s="53"/>
      <c r="G23" s="26" t="str">
        <f ca="1">VLOOKUP(B23,問題解答データベース!$A$2:$F$1901,6,0)</f>
        <v>楽観的な（⇔ pessimistic ⇒ 1593）</v>
      </c>
      <c r="H23" s="26"/>
      <c r="I23" s="26"/>
      <c r="J23" s="26"/>
      <c r="K23" s="23"/>
      <c r="L23" s="22">
        <f ca="1">VLOOKUP(B23,問題解答データベース!$A$2:$F$1901,4,0)</f>
        <v>882</v>
      </c>
    </row>
    <row r="24" spans="2:12" ht="17">
      <c r="B24" s="24">
        <f t="shared" si="0"/>
        <v>20</v>
      </c>
      <c r="C24" s="53" t="str">
        <f ca="1">小テスト!C27</f>
        <v>threat</v>
      </c>
      <c r="D24" s="53"/>
      <c r="E24" s="53"/>
      <c r="F24" s="53"/>
      <c r="G24" s="26" t="str">
        <f ca="1">VLOOKUP(B24,問題解答データベース!$A$2:$F$1901,6,0)</f>
        <v>脅威；（悪い）兆し；脅迫</v>
      </c>
      <c r="H24" s="27"/>
      <c r="I24" s="27"/>
      <c r="J24" s="27"/>
      <c r="K24" s="23"/>
      <c r="L24" s="22">
        <f ca="1">VLOOKUP(B24,問題解答データベース!$A$2:$F$1901,4,0)</f>
        <v>352</v>
      </c>
    </row>
    <row r="25" spans="2:12" ht="17">
      <c r="B25" s="24">
        <f t="shared" si="0"/>
        <v>21</v>
      </c>
      <c r="C25" s="53" t="str">
        <f ca="1">小テスト!C28</f>
        <v>（～に）不慣れな（with）；（～に）（よく）知られていない（to）</v>
      </c>
      <c r="D25" s="53"/>
      <c r="E25" s="53"/>
      <c r="F25" s="53"/>
      <c r="G25" s="26" t="str">
        <f ca="1">VLOOKUP(B25,問題解答データベース!$A$2:$F$1901,5,0)</f>
        <v>unfamiliar</v>
      </c>
      <c r="H25" s="27"/>
      <c r="I25" s="27"/>
      <c r="J25" s="27"/>
      <c r="K25" s="23"/>
      <c r="L25" s="22">
        <f ca="1">VLOOKUP(B25,問題解答データベース!$A$2:$F$1901,4,0)</f>
        <v>787</v>
      </c>
    </row>
    <row r="26" spans="2:12" ht="17">
      <c r="B26" s="24">
        <f t="shared" si="0"/>
        <v>22</v>
      </c>
      <c r="C26" s="53" t="str">
        <f ca="1">小テスト!C29</f>
        <v>を特定する；を（～と）同一視する（with）</v>
      </c>
      <c r="D26" s="53"/>
      <c r="E26" s="53"/>
      <c r="F26" s="53"/>
      <c r="G26" s="26" t="str">
        <f ca="1">VLOOKUP(B26,問題解答データベース!$A$2:$F$1901,5,0)</f>
        <v>identify</v>
      </c>
      <c r="H26" s="27"/>
      <c r="I26" s="27"/>
      <c r="J26" s="27"/>
      <c r="K26" s="23"/>
      <c r="L26" s="22">
        <f ca="1">VLOOKUP(B26,問題解答データベース!$A$2:$F$1901,4,0)</f>
        <v>201</v>
      </c>
    </row>
    <row r="27" spans="2:12" ht="17">
      <c r="B27" s="24">
        <f t="shared" si="0"/>
        <v>23</v>
      </c>
      <c r="C27" s="53" t="str">
        <f ca="1">小テスト!C30</f>
        <v>を分類する；を機密扱いにする</v>
      </c>
      <c r="D27" s="53"/>
      <c r="E27" s="53"/>
      <c r="F27" s="53"/>
      <c r="G27" s="26" t="str">
        <f ca="1">VLOOKUP(B27,問題解答データベース!$A$2:$F$1901,5,0)</f>
        <v>classify</v>
      </c>
      <c r="H27" s="27"/>
      <c r="I27" s="27"/>
      <c r="J27" s="27"/>
      <c r="K27" s="23"/>
      <c r="L27" s="22">
        <f ca="1">VLOOKUP(B27,問題解答データベース!$A$2:$F$1901,4,0)</f>
        <v>927</v>
      </c>
    </row>
    <row r="28" spans="2:12" ht="17">
      <c r="B28" s="24">
        <f t="shared" si="0"/>
        <v>24</v>
      </c>
      <c r="C28" s="53" t="str">
        <f ca="1">小テスト!C31</f>
        <v>馬車；車両（＝ 【米】car）；立ち居振舞い；【英】輸送</v>
      </c>
      <c r="D28" s="53"/>
      <c r="E28" s="53"/>
      <c r="F28" s="53"/>
      <c r="G28" s="26" t="str">
        <f ca="1">VLOOKUP(B28,問題解答データベース!$A$2:$F$1901,5,0)</f>
        <v>carriage</v>
      </c>
      <c r="H28" s="27"/>
      <c r="I28" s="27"/>
      <c r="J28" s="27"/>
      <c r="K28" s="23"/>
      <c r="L28" s="22">
        <f ca="1">VLOOKUP(B28,問題解答データベース!$A$2:$F$1901,4,0)</f>
        <v>1753</v>
      </c>
    </row>
    <row r="29" spans="2:12" ht="17">
      <c r="B29" s="24">
        <f t="shared" si="0"/>
        <v>25</v>
      </c>
      <c r="C29" s="53" t="str">
        <f ca="1">小テスト!C32</f>
        <v>燃料；勢いを増加させるもの</v>
      </c>
      <c r="D29" s="53"/>
      <c r="E29" s="53"/>
      <c r="F29" s="53"/>
      <c r="G29" s="26" t="str">
        <f ca="1">VLOOKUP(B29,問題解答データベース!$A$2:$F$1901,5,0)</f>
        <v>fuel</v>
      </c>
      <c r="H29" s="27"/>
      <c r="I29" s="27"/>
      <c r="J29" s="27"/>
      <c r="K29" s="23"/>
      <c r="L29" s="22">
        <f ca="1">VLOOKUP(B29,問題解答データベース!$A$2:$F$1901,4,0)</f>
        <v>265</v>
      </c>
    </row>
    <row r="30" spans="2:12" ht="17">
      <c r="B30" s="24">
        <f t="shared" si="0"/>
        <v>26</v>
      </c>
      <c r="C30" s="53" t="str">
        <f ca="1">小テスト!C33</f>
        <v>感染（性）の；病気を伝染する</v>
      </c>
      <c r="D30" s="53"/>
      <c r="E30" s="53"/>
      <c r="F30" s="53"/>
      <c r="G30" s="26" t="str">
        <f ca="1">VLOOKUP(B30,問題解答データベース!$A$2:$F$1901,5,0)</f>
        <v>contagious</v>
      </c>
      <c r="H30" s="27"/>
      <c r="I30" s="27"/>
      <c r="J30" s="27"/>
      <c r="K30" s="23"/>
      <c r="L30" s="22">
        <f ca="1">VLOOKUP(B30,問題解答データベース!$A$2:$F$1901,4,0)</f>
        <v>1891</v>
      </c>
    </row>
    <row r="31" spans="2:12" ht="17">
      <c r="B31" s="24">
        <f t="shared" si="0"/>
        <v>27</v>
      </c>
      <c r="C31" s="53" t="str">
        <f ca="1">小テスト!C34</f>
        <v>労働人口，総労働力；全従業員（数）</v>
      </c>
      <c r="D31" s="53"/>
      <c r="E31" s="53"/>
      <c r="F31" s="53"/>
      <c r="G31" s="26" t="str">
        <f ca="1">VLOOKUP(B31,問題解答データベース!$A$2:$F$1901,5,0)</f>
        <v>workforce</v>
      </c>
      <c r="H31" s="27"/>
      <c r="I31" s="27"/>
      <c r="J31" s="27"/>
      <c r="K31" s="23"/>
      <c r="L31" s="22">
        <f ca="1">VLOOKUP(B31,問題解答データベース!$A$2:$F$1901,4,0)</f>
        <v>950</v>
      </c>
    </row>
    <row r="32" spans="2:12" ht="17">
      <c r="B32" s="24">
        <f t="shared" si="0"/>
        <v>28</v>
      </c>
      <c r="C32" s="53" t="str">
        <f ca="1">小テスト!C35</f>
        <v>（破壊された後の）残骸，瓦礫；がらくた</v>
      </c>
      <c r="D32" s="53"/>
      <c r="E32" s="53"/>
      <c r="F32" s="53"/>
      <c r="G32" s="26" t="str">
        <f ca="1">VLOOKUP(B32,問題解答データベース!$A$2:$F$1901,5,0)</f>
        <v>debris</v>
      </c>
      <c r="H32" s="27"/>
      <c r="I32" s="27"/>
      <c r="J32" s="27"/>
      <c r="K32" s="23"/>
      <c r="L32" s="22">
        <f ca="1">VLOOKUP(B32,問題解答データベース!$A$2:$F$1901,4,0)</f>
        <v>1269</v>
      </c>
    </row>
    <row r="33" spans="2:12" ht="17">
      <c r="B33" s="24">
        <f t="shared" si="0"/>
        <v>29</v>
      </c>
      <c r="C33" s="53" t="str">
        <f ca="1">小テスト!C36</f>
        <v>動機</v>
      </c>
      <c r="D33" s="53"/>
      <c r="E33" s="53"/>
      <c r="F33" s="53"/>
      <c r="G33" s="26" t="str">
        <f ca="1">VLOOKUP(B33,問題解答データベース!$A$2:$F$1901,5,0)</f>
        <v>motive</v>
      </c>
      <c r="H33" s="27"/>
      <c r="I33" s="27"/>
      <c r="J33" s="27"/>
      <c r="K33" s="23"/>
      <c r="L33" s="22">
        <f ca="1">VLOOKUP(B33,問題解答データベース!$A$2:$F$1901,4,0)</f>
        <v>1274</v>
      </c>
    </row>
    <row r="34" spans="2:12" ht="17">
      <c r="B34" s="24">
        <f t="shared" si="0"/>
        <v>30</v>
      </c>
      <c r="C34" s="53" t="str">
        <f ca="1">小テスト!C37</f>
        <v>（～と）会話をする（with）</v>
      </c>
      <c r="D34" s="53"/>
      <c r="E34" s="53"/>
      <c r="F34" s="53"/>
      <c r="G34" s="26" t="str">
        <f ca="1">VLOOKUP(B34,問題解答データベース!$A$2:$F$1901,5,0)</f>
        <v>converse</v>
      </c>
      <c r="H34" s="27"/>
      <c r="I34" s="27"/>
      <c r="J34" s="27"/>
      <c r="K34" s="23"/>
      <c r="L34" s="22">
        <f ca="1">VLOOKUP(B34,問題解答データベース!$A$2:$F$1901,4,0)</f>
        <v>1633</v>
      </c>
    </row>
    <row r="35" spans="2:12" ht="17">
      <c r="B35" s="24">
        <f t="shared" si="0"/>
        <v>31</v>
      </c>
      <c r="C35" s="53" t="str">
        <f ca="1">小テスト!C38</f>
        <v>を宣言する；を申告する</v>
      </c>
      <c r="D35" s="53"/>
      <c r="E35" s="53"/>
      <c r="F35" s="53"/>
      <c r="G35" s="26" t="str">
        <f ca="1">VLOOKUP(B35,問題解答データベース!$A$2:$F$1901,5,0)</f>
        <v>declare</v>
      </c>
      <c r="H35" s="27"/>
      <c r="I35" s="27"/>
      <c r="J35" s="27"/>
      <c r="K35" s="23"/>
      <c r="L35" s="22">
        <f ca="1">VLOOKUP(B35,問題解答データベース!$A$2:$F$1901,4,0)</f>
        <v>720</v>
      </c>
    </row>
    <row r="36" spans="2:12" ht="17">
      <c r="B36" s="24">
        <f t="shared" si="0"/>
        <v>32</v>
      </c>
      <c r="C36" s="53" t="str">
        <f ca="1">小テスト!C39</f>
        <v>正確な（≒ exact）；精密な；まさにその</v>
      </c>
      <c r="D36" s="53"/>
      <c r="E36" s="53"/>
      <c r="F36" s="53"/>
      <c r="G36" s="26" t="str">
        <f ca="1">VLOOKUP(B36,問題解答データベース!$A$2:$F$1901,5,0)</f>
        <v>precise</v>
      </c>
      <c r="H36" s="27"/>
      <c r="I36" s="27"/>
      <c r="J36" s="27"/>
      <c r="K36" s="23"/>
      <c r="L36" s="22">
        <f ca="1">VLOOKUP(B36,問題解答データベース!$A$2:$F$1901,4,0)</f>
        <v>599</v>
      </c>
    </row>
    <row r="37" spans="2:12" ht="17">
      <c r="B37" s="24">
        <f t="shared" si="0"/>
        <v>33</v>
      </c>
      <c r="C37" s="53" t="str">
        <f ca="1">小テスト!C40</f>
        <v>をかき回す；を揺り動かす</v>
      </c>
      <c r="D37" s="53"/>
      <c r="E37" s="53"/>
      <c r="F37" s="53"/>
      <c r="G37" s="26" t="str">
        <f ca="1">VLOOKUP(B37,問題解答データベース!$A$2:$F$1901,5,0)</f>
        <v>stir</v>
      </c>
      <c r="H37" s="27"/>
      <c r="I37" s="27"/>
      <c r="J37" s="27"/>
      <c r="K37" s="23"/>
      <c r="L37" s="22">
        <f ca="1">VLOOKUP(B37,問題解答データベース!$A$2:$F$1901,4,0)</f>
        <v>1520</v>
      </c>
    </row>
    <row r="38" spans="2:12" ht="17">
      <c r="B38" s="24">
        <f t="shared" si="0"/>
        <v>34</v>
      </c>
      <c r="C38" s="53" t="str">
        <f ca="1">小テスト!C41</f>
        <v>を募る；に新人を補充する</v>
      </c>
      <c r="D38" s="53"/>
      <c r="E38" s="53"/>
      <c r="F38" s="53"/>
      <c r="G38" s="26" t="str">
        <f ca="1">VLOOKUP(B38,問題解答データベース!$A$2:$F$1901,5,0)</f>
        <v>recruit</v>
      </c>
      <c r="H38" s="27"/>
      <c r="I38" s="27"/>
      <c r="J38" s="27"/>
      <c r="K38" s="23"/>
      <c r="L38" s="22">
        <f ca="1">VLOOKUP(B38,問題解答データベース!$A$2:$F$1901,4,0)</f>
        <v>1232</v>
      </c>
    </row>
    <row r="39" spans="2:12" ht="17">
      <c r="B39" s="24">
        <f t="shared" si="0"/>
        <v>35</v>
      </c>
      <c r="C39" s="53" t="str">
        <f ca="1">小テスト!C42</f>
        <v>を主張する；を擁護する</v>
      </c>
      <c r="D39" s="53"/>
      <c r="E39" s="53"/>
      <c r="F39" s="53"/>
      <c r="G39" s="26" t="str">
        <f ca="1">VLOOKUP(B39,問題解答データベース!$A$2:$F$1901,5,0)</f>
        <v>advocate</v>
      </c>
      <c r="H39" s="27"/>
      <c r="I39" s="27"/>
      <c r="J39" s="27"/>
      <c r="K39" s="23"/>
      <c r="L39" s="22">
        <f ca="1">VLOOKUP(B39,問題解答データベース!$A$2:$F$1901,4,0)</f>
        <v>1110</v>
      </c>
    </row>
    <row r="40" spans="2:12" ht="17">
      <c r="B40" s="24">
        <f t="shared" si="0"/>
        <v>36</v>
      </c>
      <c r="C40" s="53" t="str">
        <f ca="1">小テスト!C43</f>
        <v>生まれながらの；固有の</v>
      </c>
      <c r="D40" s="53"/>
      <c r="E40" s="53"/>
      <c r="F40" s="53"/>
      <c r="G40" s="26" t="str">
        <f ca="1">VLOOKUP(B40,問題解答データベース!$A$2:$F$1901,5,0)</f>
        <v>innate</v>
      </c>
      <c r="H40" s="27"/>
      <c r="I40" s="27"/>
      <c r="J40" s="27"/>
      <c r="K40" s="23"/>
      <c r="L40" s="22">
        <f ca="1">VLOOKUP(B40,問題解答データベース!$A$2:$F$1901,4,0)</f>
        <v>1290</v>
      </c>
    </row>
    <row r="41" spans="2:12" ht="17">
      <c r="B41" s="24">
        <f t="shared" si="0"/>
        <v>37</v>
      </c>
      <c r="C41" s="53" t="str">
        <f ca="1">小テスト!C44</f>
        <v>に挨拶する；を迎える</v>
      </c>
      <c r="D41" s="53"/>
      <c r="E41" s="53"/>
      <c r="F41" s="53"/>
      <c r="G41" s="26" t="str">
        <f ca="1">VLOOKUP(B41,問題解答データベース!$A$2:$F$1901,5,0)</f>
        <v>greet</v>
      </c>
      <c r="H41" s="27"/>
      <c r="I41" s="27"/>
      <c r="J41" s="27"/>
      <c r="K41" s="23"/>
      <c r="L41" s="22">
        <f ca="1">VLOOKUP(B41,問題解答データベース!$A$2:$F$1901,4,0)</f>
        <v>812</v>
      </c>
    </row>
    <row r="42" spans="2:12" ht="17">
      <c r="B42" s="24">
        <f t="shared" si="0"/>
        <v>38</v>
      </c>
      <c r="C42" s="53" t="str">
        <f ca="1">小テスト!C45</f>
        <v>量（⇔ quality ⇒ 69）；分量</v>
      </c>
      <c r="D42" s="53"/>
      <c r="E42" s="53"/>
      <c r="F42" s="53"/>
      <c r="G42" s="26" t="str">
        <f ca="1">VLOOKUP(B42,問題解答データベース!$A$2:$F$1901,5,0)</f>
        <v>quantity</v>
      </c>
      <c r="H42" s="27"/>
      <c r="I42" s="27"/>
      <c r="J42" s="27"/>
      <c r="K42" s="23"/>
      <c r="L42" s="22">
        <f ca="1">VLOOKUP(B42,問題解答データベース!$A$2:$F$1901,4,0)</f>
        <v>471</v>
      </c>
    </row>
    <row r="43" spans="2:12" ht="17">
      <c r="B43" s="24">
        <f t="shared" si="0"/>
        <v>39</v>
      </c>
      <c r="C43" s="53" t="str">
        <f ca="1">小テスト!C46</f>
        <v>を改革する；を改心させる</v>
      </c>
      <c r="D43" s="53"/>
      <c r="E43" s="53"/>
      <c r="F43" s="53"/>
      <c r="G43" s="26" t="str">
        <f ca="1">VLOOKUP(B43,問題解答データベース!$A$2:$F$1901,5,0)</f>
        <v>reform</v>
      </c>
      <c r="H43" s="27"/>
      <c r="I43" s="27"/>
      <c r="J43" s="27"/>
      <c r="K43" s="23"/>
      <c r="L43" s="22">
        <f ca="1">VLOOKUP(B43,問題解答データベース!$A$2:$F$1901,4,0)</f>
        <v>735</v>
      </c>
    </row>
    <row r="44" spans="2:12" ht="17">
      <c r="B44" s="24">
        <f t="shared" si="0"/>
        <v>40</v>
      </c>
      <c r="C44" s="53" t="str">
        <f ca="1">小テスト!C47</f>
        <v>を（ぱっと）裏返す；を軽くはじく</v>
      </c>
      <c r="D44" s="53"/>
      <c r="E44" s="53"/>
      <c r="F44" s="53"/>
      <c r="G44" s="26" t="str">
        <f ca="1">VLOOKUP(B44,問題解答データベース!$A$2:$F$1901,5,0)</f>
        <v>flip</v>
      </c>
      <c r="H44" s="27"/>
      <c r="I44" s="27"/>
      <c r="J44" s="27"/>
      <c r="K44" s="23"/>
      <c r="L44" s="22">
        <f ca="1">VLOOKUP(B44,問題解答データベース!$A$2:$F$1901,4,0)</f>
        <v>1335</v>
      </c>
    </row>
    <row r="45" spans="2:12" ht="17">
      <c r="B45" s="24"/>
    </row>
    <row r="46" spans="2:12" ht="17">
      <c r="B46" s="24"/>
    </row>
    <row r="47" spans="2:12" ht="17">
      <c r="B47" s="24"/>
    </row>
    <row r="48" spans="2:12" ht="17">
      <c r="B48" s="24"/>
    </row>
    <row r="49" spans="2:2" ht="17">
      <c r="B49" s="24"/>
    </row>
    <row r="50" spans="2:2" ht="17">
      <c r="B50" s="24"/>
    </row>
    <row r="51" spans="2:2" ht="17">
      <c r="B51" s="24"/>
    </row>
    <row r="52" spans="2:2" ht="17">
      <c r="B52" s="24"/>
    </row>
    <row r="53" spans="2:2" ht="17">
      <c r="B53" s="24"/>
    </row>
    <row r="54" spans="2:2" ht="17">
      <c r="B54" s="24"/>
    </row>
    <row r="55" spans="2:2" ht="17">
      <c r="B55" s="24"/>
    </row>
    <row r="56" spans="2:2" ht="17">
      <c r="B56" s="24"/>
    </row>
    <row r="57" spans="2:2" ht="17">
      <c r="B57" s="24"/>
    </row>
    <row r="58" spans="2:2" ht="17">
      <c r="B58" s="24"/>
    </row>
    <row r="59" spans="2:2" ht="17">
      <c r="B59" s="24"/>
    </row>
    <row r="60" spans="2:2" ht="17">
      <c r="B60" s="24"/>
    </row>
    <row r="61" spans="2:2" ht="17">
      <c r="B61" s="24"/>
    </row>
    <row r="62" spans="2:2" ht="17">
      <c r="B62" s="24"/>
    </row>
    <row r="63" spans="2:2" ht="17">
      <c r="B63" s="24"/>
    </row>
    <row r="64" spans="2:2" ht="17">
      <c r="B64" s="24"/>
    </row>
    <row r="65" spans="2:2" ht="17">
      <c r="B65" s="24"/>
    </row>
    <row r="66" spans="2:2" ht="17">
      <c r="B66" s="24"/>
    </row>
    <row r="67" spans="2:2" ht="17">
      <c r="B67" s="24"/>
    </row>
    <row r="68" spans="2:2" ht="17">
      <c r="B68" s="24"/>
    </row>
    <row r="69" spans="2:2" ht="17">
      <c r="B69" s="24"/>
    </row>
    <row r="70" spans="2:2" ht="17">
      <c r="B70" s="24"/>
    </row>
    <row r="71" spans="2:2" ht="17">
      <c r="B71" s="24"/>
    </row>
    <row r="72" spans="2:2" ht="17">
      <c r="B72" s="24"/>
    </row>
    <row r="73" spans="2:2" ht="17">
      <c r="B73" s="24"/>
    </row>
    <row r="74" spans="2:2" ht="17">
      <c r="B74" s="24"/>
    </row>
    <row r="75" spans="2:2" ht="17">
      <c r="B75" s="24"/>
    </row>
    <row r="76" spans="2:2" ht="17">
      <c r="B76" s="24"/>
    </row>
    <row r="77" spans="2:2" ht="17">
      <c r="B77" s="24"/>
    </row>
    <row r="78" spans="2:2" ht="17">
      <c r="B78" s="24"/>
    </row>
    <row r="79" spans="2:2" ht="17">
      <c r="B79" s="24"/>
    </row>
    <row r="80" spans="2:2" ht="17">
      <c r="B80" s="24"/>
    </row>
    <row r="81" spans="2:2" ht="17">
      <c r="B81" s="24"/>
    </row>
    <row r="82" spans="2:2" ht="17">
      <c r="B82" s="24"/>
    </row>
    <row r="83" spans="2:2" ht="17">
      <c r="B83" s="24"/>
    </row>
    <row r="84" spans="2:2" ht="17">
      <c r="B84" s="24"/>
    </row>
    <row r="85" spans="2:2" ht="17">
      <c r="B85" s="24"/>
    </row>
    <row r="86" spans="2:2" ht="17">
      <c r="B86" s="24"/>
    </row>
    <row r="87" spans="2:2" ht="17">
      <c r="B87" s="24"/>
    </row>
    <row r="88" spans="2:2" ht="17">
      <c r="B88" s="24"/>
    </row>
    <row r="89" spans="2:2" ht="17">
      <c r="B89" s="24"/>
    </row>
    <row r="90" spans="2:2" ht="17">
      <c r="B90" s="24"/>
    </row>
    <row r="91" spans="2:2" ht="17">
      <c r="B91" s="24"/>
    </row>
    <row r="92" spans="2:2" ht="17">
      <c r="B92" s="24"/>
    </row>
    <row r="93" spans="2:2" ht="17">
      <c r="B93" s="24"/>
    </row>
    <row r="94" spans="2:2" ht="17">
      <c r="B94" s="24"/>
    </row>
    <row r="95" spans="2:2" ht="17">
      <c r="B95" s="24"/>
    </row>
    <row r="96" spans="2:2" ht="17">
      <c r="B96" s="24"/>
    </row>
    <row r="97" spans="2:2" ht="17">
      <c r="B97" s="24"/>
    </row>
    <row r="98" spans="2:2" ht="17">
      <c r="B98" s="24"/>
    </row>
    <row r="99" spans="2:2" ht="17">
      <c r="B99" s="24"/>
    </row>
    <row r="100" spans="2:2" ht="17">
      <c r="B100" s="24"/>
    </row>
    <row r="101" spans="2:2" ht="17">
      <c r="B101" s="24"/>
    </row>
    <row r="102" spans="2:2" ht="17">
      <c r="B102" s="24"/>
    </row>
    <row r="103" spans="2:2" ht="17">
      <c r="B103" s="24"/>
    </row>
    <row r="104" spans="2:2" ht="17">
      <c r="B104" s="24"/>
    </row>
    <row r="105" spans="2:2" ht="17">
      <c r="B105" s="24"/>
    </row>
    <row r="106" spans="2:2" ht="17">
      <c r="B106" s="24"/>
    </row>
    <row r="107" spans="2:2" ht="17">
      <c r="B107" s="24"/>
    </row>
    <row r="108" spans="2:2" ht="17">
      <c r="B108" s="24"/>
    </row>
    <row r="109" spans="2:2" ht="17">
      <c r="B109" s="24"/>
    </row>
    <row r="110" spans="2:2" ht="17">
      <c r="B110" s="24"/>
    </row>
    <row r="111" spans="2:2" ht="17">
      <c r="B111" s="24"/>
    </row>
    <row r="112" spans="2:2" ht="17">
      <c r="B112" s="24"/>
    </row>
    <row r="113" spans="2:2" ht="17">
      <c r="B113" s="24"/>
    </row>
    <row r="114" spans="2:2" ht="17">
      <c r="B114" s="24"/>
    </row>
    <row r="115" spans="2:2" ht="17">
      <c r="B115" s="24"/>
    </row>
    <row r="116" spans="2:2" ht="17">
      <c r="B116" s="24"/>
    </row>
    <row r="117" spans="2:2" ht="17">
      <c r="B117" s="24"/>
    </row>
    <row r="118" spans="2:2" ht="17">
      <c r="B118" s="24"/>
    </row>
    <row r="119" spans="2:2" ht="17">
      <c r="B119" s="24"/>
    </row>
    <row r="120" spans="2:2" ht="17">
      <c r="B120" s="24"/>
    </row>
    <row r="121" spans="2:2" ht="17">
      <c r="B121" s="24"/>
    </row>
    <row r="122" spans="2:2" ht="17">
      <c r="B122" s="24"/>
    </row>
    <row r="123" spans="2:2" ht="17">
      <c r="B123" s="24"/>
    </row>
    <row r="124" spans="2:2" ht="17">
      <c r="B124" s="24"/>
    </row>
    <row r="125" spans="2:2" ht="17">
      <c r="B125" s="24"/>
    </row>
    <row r="126" spans="2:2" ht="17">
      <c r="B126" s="24"/>
    </row>
    <row r="127" spans="2:2" ht="17">
      <c r="B127" s="24"/>
    </row>
    <row r="128" spans="2:2" ht="17">
      <c r="B128" s="24"/>
    </row>
    <row r="129" spans="2:2" ht="17">
      <c r="B129" s="24"/>
    </row>
    <row r="130" spans="2:2" ht="17">
      <c r="B130" s="24"/>
    </row>
    <row r="131" spans="2:2" ht="17">
      <c r="B131" s="24"/>
    </row>
    <row r="132" spans="2:2" ht="17">
      <c r="B132" s="24"/>
    </row>
    <row r="133" spans="2:2" ht="17">
      <c r="B133" s="24"/>
    </row>
    <row r="134" spans="2:2" ht="17">
      <c r="B134" s="24"/>
    </row>
  </sheetData>
  <mergeCells count="41">
    <mergeCell ref="C44:F44"/>
    <mergeCell ref="C43:F43"/>
    <mergeCell ref="B2:K2"/>
    <mergeCell ref="C37:F37"/>
    <mergeCell ref="C26:F26"/>
    <mergeCell ref="C27:F27"/>
    <mergeCell ref="C28:F28"/>
    <mergeCell ref="C29:F29"/>
    <mergeCell ref="C30:F30"/>
    <mergeCell ref="C31:F31"/>
    <mergeCell ref="C32:F32"/>
    <mergeCell ref="C33:F33"/>
    <mergeCell ref="C34:F34"/>
    <mergeCell ref="C35:F35"/>
    <mergeCell ref="C36:F36"/>
    <mergeCell ref="C25:F25"/>
    <mergeCell ref="C14:F14"/>
    <mergeCell ref="C22:F22"/>
    <mergeCell ref="C10:F10"/>
    <mergeCell ref="C11:F11"/>
    <mergeCell ref="C12:F12"/>
    <mergeCell ref="C15:F15"/>
    <mergeCell ref="C13:F13"/>
    <mergeCell ref="C16:F16"/>
    <mergeCell ref="C24:F24"/>
    <mergeCell ref="C17:F17"/>
    <mergeCell ref="C18:F18"/>
    <mergeCell ref="C19:F19"/>
    <mergeCell ref="C20:F20"/>
    <mergeCell ref="C23:F23"/>
    <mergeCell ref="C21:F21"/>
    <mergeCell ref="C42:F42"/>
    <mergeCell ref="C41:F41"/>
    <mergeCell ref="C40:F40"/>
    <mergeCell ref="C39:F39"/>
    <mergeCell ref="C38:F38"/>
    <mergeCell ref="C9:F9"/>
    <mergeCell ref="C8:F8"/>
    <mergeCell ref="C7:F7"/>
    <mergeCell ref="C6:F6"/>
    <mergeCell ref="C5:F5"/>
  </mergeCells>
  <phoneticPr fontId="1"/>
  <pageMargins left="0.7" right="0.7" top="0.75" bottom="0.75" header="0.3" footer="0.3"/>
  <pageSetup paperSize="9" scale="80" orientation="portrait" horizontalDpi="300" verticalDpi="300"/>
  <headerFooter>
    <oddFooter>&amp;C&amp;"UD デジタル 教科書体 NP-B,標準"&amp;20〇〇塾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問題解答データベース</vt:lpstr>
      <vt:lpstr>小テスト</vt:lpstr>
      <vt:lpstr>小テスト （模範解答）</vt:lpstr>
      <vt:lpstr>小テスト!Print_Area</vt:lpstr>
      <vt:lpstr>'小テスト （模範解答）'!Print_Area</vt:lpstr>
      <vt:lpstr>問題解答データベース!Print_Area</vt:lpstr>
      <vt:lpstr>問題解答データベース!Print_Titles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KUROTOBI</dc:creator>
  <cp:lastModifiedBy>陸　旭辰</cp:lastModifiedBy>
  <cp:lastPrinted>2024-05-10T05:31:40Z</cp:lastPrinted>
  <dcterms:created xsi:type="dcterms:W3CDTF">2018-10-22T07:10:36Z</dcterms:created>
  <dcterms:modified xsi:type="dcterms:W3CDTF">2024-05-31T04:51:44Z</dcterms:modified>
</cp:coreProperties>
</file>